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3_Jan25 (dina2)" sheetId="1" r:id="rId5"/>
    <sheet state="visible" name="H3_Feb25(dina1)" sheetId="2" r:id="rId6"/>
    <sheet state="visible" name="H3_March25 (dina8)" sheetId="3" r:id="rId7"/>
    <sheet state="visible" name="H3_April25 (dina9)" sheetId="4" r:id="rId8"/>
    <sheet state="visible" name="H3_May25 (dina10)" sheetId="5" r:id="rId9"/>
    <sheet state="visible" name="H3_June25 (dina13)" sheetId="6" r:id="rId10"/>
    <sheet state="visible" name="H3_July25 (dina6)" sheetId="7" r:id="rId11"/>
    <sheet state="visible" name="H3_Aug25 (dina7)" sheetId="8" r:id="rId12"/>
    <sheet state="visible" name="H3_Sept25 (dina14)" sheetId="9" r:id="rId13"/>
    <sheet state="visible" name="H3_Oct25 (dina11)" sheetId="10" r:id="rId14"/>
    <sheet state="visible" name="H3_Oct-Nov25 (dina12)" sheetId="11" r:id="rId15"/>
    <sheet state="visible" name="H3_Nov-Dec25 (dina5)" sheetId="12" r:id="rId16"/>
    <sheet state="visible" name="ClassifiedEggs-May 26 (dina3)" sheetId="13" r:id="rId17"/>
    <sheet state="visible" name="ClassifiedEggs-Dec 25 (dina4)" sheetId="14" r:id="rId18"/>
  </sheets>
  <definedNames/>
  <calcPr/>
</workbook>
</file>

<file path=xl/sharedStrings.xml><?xml version="1.0" encoding="utf-8"?>
<sst xmlns="http://schemas.openxmlformats.org/spreadsheetml/2006/main" count="178" uniqueCount="28">
  <si>
    <t>1985 - initial no. of birds</t>
  </si>
  <si>
    <t>AGE Week</t>
  </si>
  <si>
    <t>Date</t>
  </si>
  <si>
    <t>Bird No.</t>
  </si>
  <si>
    <t>Dead</t>
  </si>
  <si>
    <t>Cull</t>
  </si>
  <si>
    <t>Pieces</t>
  </si>
  <si>
    <t>%HD</t>
  </si>
  <si>
    <t>%HH</t>
  </si>
  <si>
    <t>FEED (bags)</t>
  </si>
  <si>
    <t>125 kg</t>
  </si>
  <si>
    <t xml:space="preserve">2 1/2 </t>
  </si>
  <si>
    <t>Feb</t>
  </si>
  <si>
    <t xml:space="preserve"> </t>
  </si>
  <si>
    <t>c `</t>
  </si>
  <si>
    <t>DATE</t>
  </si>
  <si>
    <t>HOUSE 1</t>
  </si>
  <si>
    <t>Jumbo</t>
  </si>
  <si>
    <t>XL</t>
  </si>
  <si>
    <t>Large</t>
  </si>
  <si>
    <t>Medium</t>
  </si>
  <si>
    <t>Small</t>
  </si>
  <si>
    <t>Pullets</t>
  </si>
  <si>
    <t>Pewee</t>
  </si>
  <si>
    <t>Broken</t>
  </si>
  <si>
    <t>HOUSE 2</t>
  </si>
  <si>
    <t>HOUSE 3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</si>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</sst>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"/>
    <numFmt numFmtId="165" formatCode="m-d-yyyy"/>
    <numFmt numFmtId="166" formatCode="m-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3" numFmtId="2" xfId="0" applyFont="1" applyNumberFormat="1"/>
    <xf borderId="0" fillId="0" fontId="3" numFmtId="166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/>
    </xf>
    <xf borderId="0" fillId="0" fontId="5" numFmtId="0" xfId="0" applyAlignment="1" applyFont="1">
      <alignment horizontal="right" vertical="bottom"/>
    </xf>
    <xf borderId="0" fillId="3" fontId="6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 vertical="bottom"/>
    </xf>
    <xf borderId="0" fillId="4" fontId="6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63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1" t="s">
        <v>0</v>
      </c>
      <c r="D1" s="2"/>
      <c r="E1" s="2"/>
      <c r="F1" s="2"/>
      <c r="G1" s="3"/>
      <c r="H1" s="2"/>
      <c r="I1" s="2"/>
      <c r="J1" s="4"/>
    </row>
    <row r="2">
      <c r="A2" s="2"/>
      <c r="B2" s="2"/>
      <c r="C2" s="2"/>
      <c r="D2" s="2"/>
      <c r="E2" s="2"/>
      <c r="F2" s="2"/>
      <c r="G2" s="2"/>
      <c r="H2" s="2"/>
      <c r="I2" s="2"/>
      <c r="J2" s="4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/>
    </row>
    <row r="4">
      <c r="A4" s="5">
        <v>17.0</v>
      </c>
      <c r="B4" s="6">
        <v>45650.0</v>
      </c>
      <c r="D4" s="7"/>
      <c r="E4" s="7"/>
      <c r="F4" s="8"/>
      <c r="G4" s="8"/>
      <c r="H4" s="8"/>
      <c r="I4" s="8"/>
      <c r="J4" s="7"/>
    </row>
    <row r="5">
      <c r="B5" s="8">
        <v>25.0</v>
      </c>
      <c r="C5" s="8"/>
      <c r="D5" s="7"/>
      <c r="E5" s="7"/>
      <c r="F5" s="8"/>
      <c r="G5" s="8"/>
      <c r="H5" s="8"/>
      <c r="I5" s="8"/>
      <c r="J5" s="7"/>
    </row>
    <row r="6">
      <c r="B6" s="8">
        <v>26.0</v>
      </c>
      <c r="C6" s="8"/>
      <c r="D6" s="7"/>
      <c r="E6" s="7"/>
      <c r="F6" s="8"/>
      <c r="G6" s="8"/>
      <c r="H6" s="8"/>
      <c r="I6" s="8"/>
      <c r="J6" s="7"/>
    </row>
    <row r="7">
      <c r="B7" s="8">
        <v>27.0</v>
      </c>
      <c r="C7" s="8">
        <v>1985.0</v>
      </c>
      <c r="D7" s="7"/>
      <c r="E7" s="7"/>
      <c r="F7" s="8"/>
      <c r="G7" s="8"/>
      <c r="H7" s="8"/>
      <c r="I7" s="8"/>
      <c r="J7" s="7"/>
    </row>
    <row r="8">
      <c r="B8" s="8">
        <v>28.0</v>
      </c>
      <c r="C8" s="8">
        <v>1985.0</v>
      </c>
      <c r="D8" s="7"/>
      <c r="E8" s="7"/>
      <c r="F8" s="8"/>
      <c r="G8" s="8"/>
      <c r="H8" s="8"/>
      <c r="I8" s="8"/>
      <c r="J8" s="7"/>
    </row>
    <row r="9">
      <c r="B9" s="8">
        <v>29.0</v>
      </c>
      <c r="C9" s="8">
        <v>1985.0</v>
      </c>
      <c r="D9" s="7"/>
      <c r="E9" s="7"/>
      <c r="F9" s="9"/>
      <c r="G9" s="8"/>
      <c r="H9" s="8"/>
      <c r="I9" s="8"/>
      <c r="J9" s="7"/>
    </row>
    <row r="10">
      <c r="B10" s="8">
        <v>30.0</v>
      </c>
      <c r="C10" s="8">
        <v>1985.0</v>
      </c>
      <c r="D10" s="7"/>
      <c r="E10" s="7"/>
      <c r="F10" s="9"/>
      <c r="G10" s="8"/>
      <c r="H10" s="8"/>
      <c r="I10" s="8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5">
        <v>18.0</v>
      </c>
      <c r="B12" s="8">
        <v>31.0</v>
      </c>
      <c r="C12" s="8">
        <v>1985.0</v>
      </c>
      <c r="D12" s="7"/>
      <c r="E12" s="7"/>
      <c r="F12" s="9"/>
      <c r="G12" s="8"/>
      <c r="H12" s="8"/>
      <c r="I12" s="8" t="s">
        <v>10</v>
      </c>
      <c r="J12" s="7"/>
    </row>
    <row r="13">
      <c r="B13" s="6">
        <v>45658.0</v>
      </c>
      <c r="C13" s="8">
        <v>1985.0</v>
      </c>
      <c r="D13" s="7"/>
      <c r="E13" s="7"/>
      <c r="F13" s="9"/>
      <c r="G13" s="8"/>
      <c r="H13" s="8"/>
      <c r="I13" s="8" t="s">
        <v>11</v>
      </c>
      <c r="J13" s="7"/>
    </row>
    <row r="14">
      <c r="B14" s="8">
        <v>2.0</v>
      </c>
      <c r="C14" s="8">
        <v>1985.0</v>
      </c>
      <c r="D14" s="7"/>
      <c r="E14" s="7"/>
      <c r="F14" s="9"/>
      <c r="G14" s="8"/>
      <c r="H14" s="8"/>
      <c r="I14" s="8"/>
      <c r="J14" s="7"/>
    </row>
    <row r="15">
      <c r="B15" s="8">
        <v>3.0</v>
      </c>
      <c r="C15" s="8">
        <v>1985.0</v>
      </c>
      <c r="D15" s="7"/>
      <c r="E15" s="7"/>
      <c r="F15" s="9"/>
      <c r="G15" s="8"/>
      <c r="H15" s="8"/>
      <c r="I15" s="8"/>
      <c r="J15" s="7"/>
    </row>
    <row r="16">
      <c r="B16" s="8">
        <v>4.0</v>
      </c>
      <c r="C16" s="8">
        <v>1985.0</v>
      </c>
      <c r="D16" s="7"/>
      <c r="E16" s="7"/>
      <c r="F16" s="9"/>
      <c r="G16" s="8"/>
      <c r="H16" s="8"/>
      <c r="I16" s="8">
        <v>2.0</v>
      </c>
      <c r="J16" s="7"/>
    </row>
    <row r="17">
      <c r="B17" s="8">
        <v>5.0</v>
      </c>
      <c r="C17" s="8">
        <v>1985.0</v>
      </c>
      <c r="D17" s="7"/>
      <c r="E17" s="7"/>
      <c r="F17" s="9"/>
      <c r="G17" s="8"/>
      <c r="H17" s="8"/>
      <c r="I17" s="8"/>
      <c r="J17" s="7"/>
    </row>
    <row r="18">
      <c r="B18" s="8">
        <v>6.0</v>
      </c>
      <c r="C18" s="8">
        <v>1985.0</v>
      </c>
      <c r="D18" s="7"/>
      <c r="E18" s="7"/>
      <c r="F18" s="9"/>
      <c r="G18" s="8"/>
      <c r="H18" s="8"/>
      <c r="I18" s="8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5">
        <v>19.0</v>
      </c>
      <c r="B20" s="8">
        <v>7.0</v>
      </c>
      <c r="C20" s="8">
        <v>1985.0</v>
      </c>
      <c r="D20" s="8"/>
      <c r="E20" s="7"/>
      <c r="F20" s="8"/>
      <c r="G20" s="8"/>
      <c r="H20" s="8"/>
      <c r="I20" s="8"/>
      <c r="J20" s="7"/>
    </row>
    <row r="21">
      <c r="B21" s="8">
        <v>8.0</v>
      </c>
      <c r="C21" s="8">
        <v>1985.0</v>
      </c>
      <c r="D21" s="7"/>
      <c r="E21" s="7"/>
      <c r="F21" s="8"/>
      <c r="G21" s="8"/>
      <c r="H21" s="8"/>
      <c r="I21" s="8"/>
      <c r="J21" s="7"/>
    </row>
    <row r="22">
      <c r="B22" s="8">
        <v>9.0</v>
      </c>
      <c r="C22" s="8">
        <v>1984.0</v>
      </c>
      <c r="D22" s="8">
        <v>1.0</v>
      </c>
      <c r="E22" s="7"/>
      <c r="F22" s="8">
        <v>4.0</v>
      </c>
      <c r="G22" s="8">
        <v>0.2</v>
      </c>
      <c r="H22" s="8">
        <v>0.2</v>
      </c>
      <c r="I22" s="8"/>
      <c r="J22" s="7"/>
    </row>
    <row r="23">
      <c r="B23" s="8">
        <v>10.0</v>
      </c>
      <c r="C23" s="8">
        <v>1983.0</v>
      </c>
      <c r="D23" s="8">
        <v>1.0</v>
      </c>
      <c r="E23" s="7"/>
      <c r="F23" s="8">
        <v>6.0</v>
      </c>
      <c r="G23" s="8">
        <v>0.3</v>
      </c>
      <c r="H23" s="8">
        <v>0.3</v>
      </c>
      <c r="I23" s="8"/>
      <c r="J23" s="7"/>
    </row>
    <row r="24">
      <c r="B24" s="8">
        <v>11.0</v>
      </c>
      <c r="C24" s="8">
        <v>1983.0</v>
      </c>
      <c r="D24" s="7"/>
      <c r="E24" s="7"/>
      <c r="F24" s="8">
        <v>5.0</v>
      </c>
      <c r="G24" s="8">
        <v>0.25</v>
      </c>
      <c r="H24" s="8">
        <v>0.25</v>
      </c>
      <c r="I24" s="8"/>
      <c r="J24" s="7"/>
    </row>
    <row r="25">
      <c r="B25" s="8">
        <v>12.0</v>
      </c>
      <c r="C25" s="8">
        <v>1983.0</v>
      </c>
      <c r="D25" s="7"/>
      <c r="E25" s="7"/>
      <c r="F25" s="9">
        <v>9.0</v>
      </c>
      <c r="G25" s="8">
        <v>0.45</v>
      </c>
      <c r="H25" s="8">
        <v>0.45</v>
      </c>
      <c r="I25" s="8">
        <v>4.0</v>
      </c>
      <c r="J25" s="7"/>
    </row>
    <row r="26">
      <c r="B26" s="8">
        <v>13.0</v>
      </c>
      <c r="C26" s="8">
        <v>1983.0</v>
      </c>
      <c r="D26" s="7"/>
      <c r="E26" s="7"/>
      <c r="F26" s="9">
        <v>20.0</v>
      </c>
      <c r="G26" s="8">
        <v>1.0</v>
      </c>
      <c r="H26" s="8">
        <v>1.0</v>
      </c>
      <c r="I26" s="8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5">
        <v>20.0</v>
      </c>
      <c r="B28" s="8">
        <v>14.0</v>
      </c>
      <c r="C28" s="8">
        <v>1981.0</v>
      </c>
      <c r="D28" s="8">
        <v>2.0</v>
      </c>
      <c r="E28" s="7"/>
      <c r="F28" s="8">
        <v>35.0</v>
      </c>
      <c r="G28" s="8">
        <v>1.76</v>
      </c>
      <c r="H28" s="8">
        <v>1.76</v>
      </c>
      <c r="I28" s="8"/>
      <c r="J28" s="7"/>
    </row>
    <row r="29">
      <c r="B29" s="8">
        <v>15.0</v>
      </c>
      <c r="C29" s="8">
        <v>1979.0</v>
      </c>
      <c r="D29" s="8"/>
      <c r="E29" s="8">
        <v>2.0</v>
      </c>
      <c r="F29" s="8">
        <v>49.0</v>
      </c>
      <c r="G29" s="8">
        <v>2.47</v>
      </c>
      <c r="H29" s="8">
        <v>2.46</v>
      </c>
      <c r="I29" s="8"/>
      <c r="J29" s="7"/>
    </row>
    <row r="30">
      <c r="B30" s="8">
        <v>16.0</v>
      </c>
      <c r="C30" s="8">
        <v>1979.0</v>
      </c>
      <c r="D30" s="7"/>
      <c r="E30" s="7"/>
      <c r="F30" s="8">
        <v>85.0</v>
      </c>
      <c r="G30" s="8">
        <v>4.29</v>
      </c>
      <c r="H30" s="8">
        <v>4.28</v>
      </c>
      <c r="I30" s="8"/>
      <c r="J30" s="7"/>
    </row>
    <row r="31">
      <c r="B31" s="8">
        <v>17.0</v>
      </c>
      <c r="C31" s="8">
        <v>1978.0</v>
      </c>
      <c r="D31" s="8">
        <v>1.0</v>
      </c>
      <c r="E31" s="7"/>
      <c r="F31" s="8">
        <v>135.0</v>
      </c>
      <c r="G31" s="8">
        <v>6.82</v>
      </c>
      <c r="H31" s="8">
        <v>6.8</v>
      </c>
      <c r="I31" s="8"/>
      <c r="J31" s="7"/>
    </row>
    <row r="32">
      <c r="B32" s="8">
        <v>18.0</v>
      </c>
      <c r="C32" s="8">
        <v>1978.0</v>
      </c>
      <c r="D32" s="7"/>
      <c r="E32" s="8"/>
      <c r="F32" s="8">
        <v>189.0</v>
      </c>
      <c r="G32" s="8">
        <v>9.55</v>
      </c>
      <c r="H32" s="8">
        <v>9.52</v>
      </c>
      <c r="I32" s="8"/>
      <c r="J32" s="7"/>
    </row>
    <row r="33">
      <c r="B33" s="8">
        <v>19.0</v>
      </c>
      <c r="C33" s="8">
        <v>1978.0</v>
      </c>
      <c r="D33" s="7"/>
      <c r="E33" s="8"/>
      <c r="F33" s="9">
        <v>265.0</v>
      </c>
      <c r="G33" s="8">
        <v>13.39</v>
      </c>
      <c r="H33" s="8">
        <v>13.35</v>
      </c>
      <c r="I33" s="8"/>
      <c r="J33" s="7"/>
    </row>
    <row r="34">
      <c r="B34" s="8">
        <v>20.0</v>
      </c>
      <c r="C34" s="8">
        <v>1978.0</v>
      </c>
      <c r="D34" s="8"/>
      <c r="E34" s="7"/>
      <c r="F34" s="9">
        <v>355.0</v>
      </c>
      <c r="G34" s="8">
        <v>17.94</v>
      </c>
      <c r="H34" s="8">
        <v>17.88</v>
      </c>
      <c r="I34" s="8">
        <v>4.0</v>
      </c>
      <c r="J34" s="7"/>
    </row>
  </sheetData>
  <mergeCells count="5">
    <mergeCell ref="A1:C1"/>
    <mergeCell ref="A4:A10"/>
    <mergeCell ref="A12:A18"/>
    <mergeCell ref="A20:A26"/>
    <mergeCell ref="A28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21.0</v>
      </c>
      <c r="B2" s="8">
        <v>21.0</v>
      </c>
      <c r="C2" s="8">
        <v>1978.0</v>
      </c>
      <c r="D2" s="7"/>
      <c r="E2" s="7"/>
      <c r="F2" s="8">
        <v>458.0</v>
      </c>
      <c r="G2" s="8">
        <v>23.15</v>
      </c>
      <c r="H2" s="8">
        <v>23.07</v>
      </c>
      <c r="I2" s="8">
        <v>4.0</v>
      </c>
      <c r="J2" s="7"/>
    </row>
    <row r="3">
      <c r="B3" s="8">
        <v>22.0</v>
      </c>
      <c r="C3" s="8">
        <v>1978.0</v>
      </c>
      <c r="D3" s="7"/>
      <c r="E3" s="7"/>
      <c r="F3" s="8">
        <v>587.0</v>
      </c>
      <c r="G3" s="8">
        <v>29.22</v>
      </c>
      <c r="H3" s="8">
        <v>29.57</v>
      </c>
      <c r="I3" s="8">
        <v>4.0</v>
      </c>
      <c r="J3" s="7"/>
    </row>
    <row r="4">
      <c r="B4" s="8">
        <v>23.0</v>
      </c>
      <c r="C4" s="8">
        <v>1978.0</v>
      </c>
      <c r="D4" s="7"/>
      <c r="E4" s="7"/>
      <c r="F4" s="8">
        <v>689.0</v>
      </c>
      <c r="G4" s="8">
        <v>34.63</v>
      </c>
      <c r="H4" s="8">
        <v>34.5</v>
      </c>
      <c r="I4" s="8">
        <v>4.0</v>
      </c>
      <c r="J4" s="7"/>
    </row>
    <row r="5">
      <c r="B5" s="8">
        <v>24.0</v>
      </c>
      <c r="C5" s="8">
        <v>1978.0</v>
      </c>
      <c r="D5" s="7"/>
      <c r="E5" s="7"/>
      <c r="F5" s="8">
        <v>841.0</v>
      </c>
      <c r="G5" s="8">
        <v>42.51</v>
      </c>
      <c r="H5" s="8">
        <v>42.36</v>
      </c>
      <c r="I5" s="8">
        <v>4.0</v>
      </c>
      <c r="J5" s="7"/>
    </row>
    <row r="6">
      <c r="B6" s="8">
        <v>25.0</v>
      </c>
      <c r="C6" s="8">
        <v>1918.0</v>
      </c>
      <c r="D6" s="7"/>
      <c r="E6" s="7"/>
      <c r="F6" s="8">
        <v>990.0</v>
      </c>
      <c r="G6" s="8">
        <v>50.35</v>
      </c>
      <c r="H6" s="8">
        <v>49.37</v>
      </c>
      <c r="I6" s="8">
        <v>4.0</v>
      </c>
      <c r="J6" s="7"/>
    </row>
    <row r="7">
      <c r="B7" s="8">
        <v>26.0</v>
      </c>
      <c r="C7" s="8">
        <v>1978.0</v>
      </c>
      <c r="D7" s="7"/>
      <c r="E7" s="7"/>
      <c r="F7" s="9">
        <v>1071.0</v>
      </c>
      <c r="G7" s="8">
        <v>54.14</v>
      </c>
      <c r="H7" s="8">
        <v>53.95</v>
      </c>
      <c r="I7" s="8">
        <v>4.0</v>
      </c>
      <c r="J7" s="7"/>
    </row>
    <row r="8">
      <c r="B8" s="8">
        <v>27.0</v>
      </c>
      <c r="C8" s="8">
        <v>1978.0</v>
      </c>
      <c r="D8" s="7"/>
      <c r="E8" s="7"/>
      <c r="F8" s="9">
        <v>1200.0</v>
      </c>
      <c r="G8" s="8">
        <v>60.66</v>
      </c>
      <c r="H8" s="8">
        <v>60.46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22.0</v>
      </c>
      <c r="B10" s="8">
        <v>28.0</v>
      </c>
      <c r="C10" s="8">
        <v>1978.0</v>
      </c>
      <c r="D10" s="7"/>
      <c r="E10" s="7"/>
      <c r="F10" s="9">
        <v>1337.0</v>
      </c>
      <c r="G10" s="8">
        <v>67.59</v>
      </c>
      <c r="H10" s="8">
        <v>67.35</v>
      </c>
      <c r="I10" s="8">
        <v>4.0</v>
      </c>
      <c r="J10" s="7"/>
    </row>
    <row r="11">
      <c r="B11" s="8">
        <v>29.0</v>
      </c>
      <c r="C11" s="8">
        <v>1978.0</v>
      </c>
      <c r="D11" s="7"/>
      <c r="E11" s="7"/>
      <c r="F11" s="9">
        <v>1410.0</v>
      </c>
      <c r="G11" s="8">
        <v>71.28</v>
      </c>
      <c r="H11" s="8">
        <v>71.03</v>
      </c>
      <c r="I11" s="8">
        <v>4.0</v>
      </c>
      <c r="J11" s="7"/>
    </row>
    <row r="12">
      <c r="B12" s="8">
        <v>30.0</v>
      </c>
      <c r="C12" s="8">
        <v>1978.0</v>
      </c>
      <c r="D12" s="7"/>
      <c r="E12" s="7"/>
      <c r="F12" s="9">
        <v>1500.0</v>
      </c>
      <c r="G12" s="8">
        <v>75.83</v>
      </c>
      <c r="H12" s="8">
        <v>75.56</v>
      </c>
      <c r="I12" s="8">
        <v>4.0</v>
      </c>
      <c r="J12" s="7"/>
    </row>
    <row r="13">
      <c r="B13" s="8">
        <v>31.0</v>
      </c>
      <c r="C13" s="8">
        <v>1978.0</v>
      </c>
      <c r="D13" s="7"/>
      <c r="E13" s="7"/>
      <c r="F13" s="9">
        <v>1530.0</v>
      </c>
      <c r="G13" s="8">
        <v>77.35</v>
      </c>
      <c r="H13" s="8">
        <v>77.37</v>
      </c>
      <c r="I13" s="8">
        <v>4.0</v>
      </c>
      <c r="J13" s="7"/>
    </row>
    <row r="14">
      <c r="A14" s="5" t="s">
        <v>12</v>
      </c>
      <c r="B14" s="8">
        <v>1.0</v>
      </c>
      <c r="C14" s="8">
        <v>1978.0</v>
      </c>
      <c r="D14" s="7"/>
      <c r="E14" s="7"/>
      <c r="F14" s="9">
        <v>1530.0</v>
      </c>
      <c r="G14" s="8">
        <v>77.35</v>
      </c>
      <c r="H14" s="8">
        <v>77.37</v>
      </c>
      <c r="I14" s="8">
        <v>4.0</v>
      </c>
      <c r="J14" s="7"/>
    </row>
    <row r="15">
      <c r="B15" s="8">
        <v>2.0</v>
      </c>
      <c r="C15" s="8">
        <v>1978.0</v>
      </c>
      <c r="D15" s="7"/>
      <c r="E15" s="7"/>
      <c r="F15" s="9">
        <v>1580.0</v>
      </c>
      <c r="G15" s="8">
        <v>79.87</v>
      </c>
      <c r="H15" s="8">
        <v>79.59</v>
      </c>
      <c r="I15" s="8">
        <v>4.0</v>
      </c>
      <c r="J15" s="7"/>
    </row>
    <row r="16">
      <c r="B16" s="8">
        <v>3.0</v>
      </c>
      <c r="C16" s="8">
        <v>1978.0</v>
      </c>
      <c r="D16" s="7"/>
      <c r="E16" s="7"/>
      <c r="F16" s="9">
        <v>1615.0</v>
      </c>
      <c r="G16" s="8">
        <v>81.64</v>
      </c>
      <c r="H16" s="8">
        <v>81.36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23.0</v>
      </c>
      <c r="B18" s="8">
        <v>4.0</v>
      </c>
      <c r="C18" s="8">
        <v>1977.0</v>
      </c>
      <c r="D18" s="8">
        <v>1.0</v>
      </c>
      <c r="E18" s="7"/>
      <c r="F18" s="8">
        <v>1680.0</v>
      </c>
      <c r="G18" s="8">
        <v>84.97</v>
      </c>
      <c r="H18" s="8">
        <v>84.63</v>
      </c>
      <c r="I18" s="8">
        <v>4.0</v>
      </c>
      <c r="J18" s="7"/>
    </row>
    <row r="19">
      <c r="B19" s="8">
        <v>5.0</v>
      </c>
      <c r="C19" s="8">
        <v>1977.0</v>
      </c>
      <c r="D19" s="7"/>
      <c r="E19" s="7"/>
      <c r="F19" s="8">
        <v>1683.0</v>
      </c>
      <c r="G19" s="8">
        <v>85.12</v>
      </c>
      <c r="H19" s="8">
        <v>84.78</v>
      </c>
      <c r="I19" s="8">
        <v>4.0</v>
      </c>
      <c r="J19" s="7"/>
    </row>
    <row r="20">
      <c r="B20" s="8">
        <v>6.0</v>
      </c>
      <c r="C20" s="8">
        <v>1977.0</v>
      </c>
      <c r="D20" s="7"/>
      <c r="E20" s="7"/>
      <c r="F20" s="8">
        <v>1735.0</v>
      </c>
      <c r="G20" s="8">
        <v>87.75</v>
      </c>
      <c r="H20" s="8">
        <v>87.4</v>
      </c>
      <c r="I20" s="8">
        <v>4.0</v>
      </c>
      <c r="J20" s="7"/>
    </row>
    <row r="21">
      <c r="B21" s="8">
        <v>7.0</v>
      </c>
      <c r="C21" s="8">
        <v>1977.0</v>
      </c>
      <c r="D21" s="7"/>
      <c r="E21" s="7"/>
      <c r="F21" s="8">
        <v>1706.0</v>
      </c>
      <c r="G21" s="8">
        <v>86.29</v>
      </c>
      <c r="H21" s="8">
        <v>85.94</v>
      </c>
      <c r="I21" s="8">
        <v>4.0</v>
      </c>
      <c r="J21" s="7"/>
    </row>
    <row r="22">
      <c r="B22" s="8">
        <v>8.0</v>
      </c>
      <c r="C22" s="8">
        <v>1977.0</v>
      </c>
      <c r="D22" s="7"/>
      <c r="E22" s="7"/>
      <c r="F22" s="8">
        <v>1689.0</v>
      </c>
      <c r="G22" s="8">
        <v>85.43</v>
      </c>
      <c r="H22" s="8">
        <v>85.08</v>
      </c>
      <c r="I22" s="8">
        <v>4.0</v>
      </c>
      <c r="J22" s="7"/>
    </row>
    <row r="23">
      <c r="B23" s="8">
        <v>9.0</v>
      </c>
      <c r="C23" s="8">
        <v>1977.0</v>
      </c>
      <c r="D23" s="7"/>
      <c r="E23" s="7"/>
      <c r="F23" s="9">
        <v>1721.0</v>
      </c>
      <c r="G23" s="8">
        <v>87.05</v>
      </c>
      <c r="H23" s="8">
        <v>86.7</v>
      </c>
      <c r="I23" s="8">
        <v>4.0</v>
      </c>
      <c r="J23" s="7"/>
    </row>
    <row r="24">
      <c r="B24" s="8">
        <v>10.0</v>
      </c>
      <c r="C24" s="8">
        <v>1977.0</v>
      </c>
      <c r="D24" s="7"/>
      <c r="E24" s="7"/>
      <c r="F24" s="9">
        <v>1747.0</v>
      </c>
      <c r="G24" s="8">
        <v>88.36</v>
      </c>
      <c r="H24" s="8">
        <v>88.01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24.0</v>
      </c>
      <c r="B26" s="8">
        <v>11.0</v>
      </c>
      <c r="C26" s="8">
        <v>1977.0</v>
      </c>
      <c r="D26" s="8"/>
      <c r="E26" s="7"/>
      <c r="F26" s="8">
        <v>1748.0</v>
      </c>
      <c r="G26" s="8">
        <v>88.41</v>
      </c>
      <c r="H26" s="8">
        <v>88.06</v>
      </c>
      <c r="I26" s="8">
        <v>4.0</v>
      </c>
      <c r="J26" s="7"/>
    </row>
    <row r="27">
      <c r="B27" s="8">
        <v>12.0</v>
      </c>
      <c r="C27" s="8">
        <v>1976.0</v>
      </c>
      <c r="D27" s="8">
        <v>1.0</v>
      </c>
      <c r="E27" s="7"/>
      <c r="F27" s="8">
        <v>1715.0</v>
      </c>
      <c r="G27" s="8">
        <v>86.79</v>
      </c>
      <c r="H27" s="8">
        <v>86.39</v>
      </c>
      <c r="I27" s="8">
        <v>4.0</v>
      </c>
      <c r="J27" s="7"/>
    </row>
    <row r="28">
      <c r="B28" s="8">
        <v>13.0</v>
      </c>
      <c r="C28" s="8">
        <v>1976.0</v>
      </c>
      <c r="D28" s="7"/>
      <c r="E28" s="7"/>
      <c r="F28" s="8">
        <v>1747.0</v>
      </c>
      <c r="G28" s="8">
        <v>88.41</v>
      </c>
      <c r="H28" s="8">
        <v>88.02</v>
      </c>
      <c r="I28" s="8">
        <v>4.0</v>
      </c>
      <c r="J28" s="7"/>
    </row>
    <row r="29">
      <c r="B29" s="8">
        <v>14.0</v>
      </c>
      <c r="C29" s="8">
        <v>1976.0</v>
      </c>
      <c r="D29" s="7"/>
      <c r="E29" s="7"/>
      <c r="F29" s="8">
        <v>1750.0</v>
      </c>
      <c r="G29" s="8">
        <v>88.56</v>
      </c>
      <c r="H29" s="8">
        <v>88.16</v>
      </c>
      <c r="I29" s="8">
        <v>4.0</v>
      </c>
      <c r="J29" s="7"/>
    </row>
    <row r="30">
      <c r="B30" s="8">
        <v>15.0</v>
      </c>
      <c r="C30" s="8">
        <v>1975.0</v>
      </c>
      <c r="D30" s="7"/>
      <c r="E30" s="8">
        <v>1.0</v>
      </c>
      <c r="F30" s="8">
        <v>1770.0</v>
      </c>
      <c r="G30" s="8">
        <v>89.62</v>
      </c>
      <c r="H30" s="8">
        <v>89.16</v>
      </c>
      <c r="I30" s="8">
        <v>4.0</v>
      </c>
      <c r="J30" s="7"/>
    </row>
    <row r="31">
      <c r="B31" s="8">
        <v>16.0</v>
      </c>
      <c r="C31" s="8">
        <v>1971.0</v>
      </c>
      <c r="D31" s="7"/>
      <c r="E31" s="8">
        <v>4.0</v>
      </c>
      <c r="F31" s="9">
        <v>1776.0</v>
      </c>
      <c r="G31" s="8">
        <v>90.1</v>
      </c>
      <c r="H31" s="8">
        <v>90.1</v>
      </c>
      <c r="I31" s="8">
        <v>4.0</v>
      </c>
      <c r="J31" s="7"/>
    </row>
    <row r="32">
      <c r="B32" s="8">
        <v>17.0</v>
      </c>
      <c r="C32" s="8">
        <v>1969.0</v>
      </c>
      <c r="D32" s="8">
        <v>2.0</v>
      </c>
      <c r="E32" s="7"/>
      <c r="F32" s="9">
        <v>1739.0</v>
      </c>
      <c r="G32" s="8">
        <v>88.31</v>
      </c>
      <c r="H32" s="8">
        <v>88.31</v>
      </c>
      <c r="I32" s="8">
        <v>4.0</v>
      </c>
      <c r="J32" s="7"/>
    </row>
  </sheetData>
  <mergeCells count="5">
    <mergeCell ref="A2:A8"/>
    <mergeCell ref="A10:A13"/>
    <mergeCell ref="A14:A16"/>
    <mergeCell ref="A18:A24"/>
    <mergeCell ref="A26:A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25.0</v>
      </c>
      <c r="B2" s="8">
        <v>18.0</v>
      </c>
      <c r="C2" s="8">
        <v>1969.0</v>
      </c>
      <c r="D2" s="7"/>
      <c r="E2" s="8">
        <v>2.0</v>
      </c>
      <c r="F2" s="8">
        <v>1778.0</v>
      </c>
      <c r="G2" s="8">
        <v>90.29</v>
      </c>
      <c r="H2" s="10">
        <f t="shared" ref="H2:H8" si="1">F2/1985*100</f>
        <v>89.57178841</v>
      </c>
      <c r="I2" s="8">
        <v>4.0</v>
      </c>
      <c r="J2" s="7"/>
    </row>
    <row r="3">
      <c r="B3" s="8">
        <v>19.0</v>
      </c>
      <c r="C3" s="8">
        <v>1967.0</v>
      </c>
      <c r="D3" s="7"/>
      <c r="E3" s="7"/>
      <c r="F3" s="8">
        <v>1792.0</v>
      </c>
      <c r="G3" s="8">
        <v>91.1</v>
      </c>
      <c r="H3" s="10">
        <f t="shared" si="1"/>
        <v>90.27707809</v>
      </c>
      <c r="I3" s="8">
        <v>4.0</v>
      </c>
      <c r="J3" s="7"/>
    </row>
    <row r="4">
      <c r="B4" s="8">
        <v>20.0</v>
      </c>
      <c r="C4" s="8">
        <v>1967.0</v>
      </c>
      <c r="D4" s="7"/>
      <c r="E4" s="7"/>
      <c r="F4" s="8">
        <v>1774.0</v>
      </c>
      <c r="G4" s="8">
        <v>90.18</v>
      </c>
      <c r="H4" s="10">
        <f t="shared" si="1"/>
        <v>89.37027708</v>
      </c>
      <c r="I4" s="8">
        <v>4.0</v>
      </c>
      <c r="J4" s="7"/>
    </row>
    <row r="5">
      <c r="B5" s="8">
        <v>21.0</v>
      </c>
      <c r="C5" s="8">
        <v>1967.0</v>
      </c>
      <c r="D5" s="7"/>
      <c r="E5" s="7"/>
      <c r="F5" s="8">
        <v>1793.0</v>
      </c>
      <c r="G5" s="8">
        <v>91.15</v>
      </c>
      <c r="H5" s="10">
        <f t="shared" si="1"/>
        <v>90.32745592</v>
      </c>
      <c r="I5" s="8">
        <v>4.0</v>
      </c>
      <c r="J5" s="7"/>
    </row>
    <row r="6">
      <c r="B6" s="8">
        <v>22.0</v>
      </c>
      <c r="C6" s="8">
        <v>1967.0</v>
      </c>
      <c r="D6" s="7"/>
      <c r="E6" s="7"/>
      <c r="F6" s="8">
        <v>1765.0</v>
      </c>
      <c r="G6" s="8">
        <v>89.73</v>
      </c>
      <c r="H6" s="10">
        <f t="shared" si="1"/>
        <v>88.91687657</v>
      </c>
      <c r="I6" s="8">
        <v>4.0</v>
      </c>
      <c r="J6" s="7"/>
    </row>
    <row r="7">
      <c r="B7" s="8">
        <v>23.0</v>
      </c>
      <c r="C7" s="8">
        <v>1967.0</v>
      </c>
      <c r="D7" s="7"/>
      <c r="E7" s="7"/>
      <c r="F7" s="9">
        <v>1777.0</v>
      </c>
      <c r="G7" s="8">
        <v>90.34</v>
      </c>
      <c r="H7" s="10">
        <f t="shared" si="1"/>
        <v>89.52141058</v>
      </c>
      <c r="I7" s="8">
        <v>4.0</v>
      </c>
      <c r="J7" s="7"/>
    </row>
    <row r="8">
      <c r="B8" s="8">
        <v>24.0</v>
      </c>
      <c r="C8" s="8">
        <v>1967.0</v>
      </c>
      <c r="D8" s="7"/>
      <c r="E8" s="7"/>
      <c r="F8" s="9">
        <v>1755.0</v>
      </c>
      <c r="G8" s="8">
        <v>89.22</v>
      </c>
      <c r="H8" s="10">
        <f t="shared" si="1"/>
        <v>88.41309824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10"/>
      <c r="I9" s="7"/>
      <c r="J9" s="7"/>
    </row>
    <row r="10">
      <c r="A10" s="5">
        <v>26.0</v>
      </c>
      <c r="B10" s="8">
        <v>25.0</v>
      </c>
      <c r="C10" s="8">
        <v>1966.0</v>
      </c>
      <c r="D10" s="8">
        <v>1.0</v>
      </c>
      <c r="E10" s="7"/>
      <c r="F10" s="9">
        <v>1883.0</v>
      </c>
      <c r="G10" s="8">
        <v>95.77</v>
      </c>
      <c r="H10" s="10">
        <f t="shared" ref="H10:H16" si="2">F10/1985*100</f>
        <v>94.86146096</v>
      </c>
      <c r="I10" s="8">
        <v>4.0</v>
      </c>
      <c r="J10" s="7"/>
    </row>
    <row r="11">
      <c r="B11" s="8">
        <v>26.0</v>
      </c>
      <c r="C11" s="8">
        <v>1966.0</v>
      </c>
      <c r="D11" s="7"/>
      <c r="E11" s="7"/>
      <c r="F11" s="9">
        <v>1785.0</v>
      </c>
      <c r="G11" s="8">
        <v>90.79</v>
      </c>
      <c r="H11" s="10">
        <f t="shared" si="2"/>
        <v>89.92443325</v>
      </c>
      <c r="I11" s="8">
        <v>4.0</v>
      </c>
      <c r="J11" s="7"/>
    </row>
    <row r="12">
      <c r="B12" s="8">
        <v>27.0</v>
      </c>
      <c r="C12" s="8">
        <v>1965.0</v>
      </c>
      <c r="D12" s="8">
        <v>1.0</v>
      </c>
      <c r="E12" s="7"/>
      <c r="F12" s="9">
        <v>1776.0</v>
      </c>
      <c r="G12" s="8">
        <v>90.38</v>
      </c>
      <c r="H12" s="10">
        <f t="shared" si="2"/>
        <v>89.47103275</v>
      </c>
      <c r="I12" s="8">
        <v>4.0</v>
      </c>
      <c r="J12" s="7"/>
    </row>
    <row r="13">
      <c r="B13" s="8">
        <v>28.0</v>
      </c>
      <c r="C13" s="8">
        <v>1963.0</v>
      </c>
      <c r="D13" s="7"/>
      <c r="E13" s="8">
        <v>2.0</v>
      </c>
      <c r="F13" s="9">
        <v>1748.0</v>
      </c>
      <c r="G13" s="8">
        <v>89.04</v>
      </c>
      <c r="H13" s="10">
        <f t="shared" si="2"/>
        <v>88.0604534</v>
      </c>
      <c r="I13" s="8">
        <v>4.0</v>
      </c>
      <c r="J13" s="7"/>
    </row>
    <row r="14">
      <c r="B14" s="11">
        <v>45717.0</v>
      </c>
      <c r="C14" s="8">
        <v>1962.0</v>
      </c>
      <c r="D14" s="7"/>
      <c r="E14" s="8">
        <v>1.0</v>
      </c>
      <c r="F14" s="9">
        <v>1735.0</v>
      </c>
      <c r="G14" s="8">
        <v>88.43</v>
      </c>
      <c r="H14" s="10">
        <f t="shared" si="2"/>
        <v>87.40554156</v>
      </c>
      <c r="I14" s="8">
        <v>4.0</v>
      </c>
      <c r="J14" s="7"/>
    </row>
    <row r="15">
      <c r="B15" s="8">
        <v>2.0</v>
      </c>
      <c r="C15" s="8">
        <v>1962.0</v>
      </c>
      <c r="D15" s="7"/>
      <c r="E15" s="7"/>
      <c r="F15" s="9">
        <v>1770.0</v>
      </c>
      <c r="G15" s="8">
        <v>87.15</v>
      </c>
      <c r="H15" s="10">
        <f t="shared" si="2"/>
        <v>89.16876574</v>
      </c>
      <c r="I15" s="8">
        <v>4.0</v>
      </c>
      <c r="J15" s="7"/>
    </row>
    <row r="16">
      <c r="B16" s="8">
        <v>3.0</v>
      </c>
      <c r="C16" s="8">
        <v>1961.0</v>
      </c>
      <c r="D16" s="7"/>
      <c r="E16" s="8">
        <v>1.0</v>
      </c>
      <c r="F16" s="9">
        <v>1729.0</v>
      </c>
      <c r="G16" s="8">
        <v>88.16</v>
      </c>
      <c r="H16" s="10">
        <f t="shared" si="2"/>
        <v>87.10327456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10"/>
      <c r="I17" s="7"/>
      <c r="J17" s="7"/>
    </row>
    <row r="18">
      <c r="A18" s="5">
        <v>27.0</v>
      </c>
      <c r="B18" s="8">
        <v>4.0</v>
      </c>
      <c r="C18" s="8">
        <v>1960.0</v>
      </c>
      <c r="D18" s="8"/>
      <c r="E18" s="8">
        <v>1.0</v>
      </c>
      <c r="F18" s="8">
        <v>1770.0</v>
      </c>
      <c r="G18" s="8">
        <v>90.3</v>
      </c>
      <c r="H18" s="10">
        <f t="shared" ref="H18:H24" si="3">F18/1985*100</f>
        <v>89.16876574</v>
      </c>
      <c r="I18" s="8">
        <v>4.0</v>
      </c>
      <c r="J18" s="7"/>
    </row>
    <row r="19">
      <c r="B19" s="8">
        <v>5.0</v>
      </c>
      <c r="C19" s="8">
        <v>1960.0</v>
      </c>
      <c r="D19" s="7"/>
      <c r="E19" s="7"/>
      <c r="F19" s="8">
        <v>1826.0</v>
      </c>
      <c r="G19" s="8">
        <v>93.16</v>
      </c>
      <c r="H19" s="10">
        <f t="shared" si="3"/>
        <v>91.98992443</v>
      </c>
      <c r="I19" s="8">
        <v>4.0</v>
      </c>
      <c r="J19" s="7"/>
    </row>
    <row r="20">
      <c r="B20" s="8">
        <v>6.0</v>
      </c>
      <c r="C20" s="8">
        <v>1960.0</v>
      </c>
      <c r="D20" s="7"/>
      <c r="E20" s="7"/>
      <c r="F20" s="8">
        <v>1750.0</v>
      </c>
      <c r="G20" s="8">
        <v>89.28</v>
      </c>
      <c r="H20" s="10">
        <f t="shared" si="3"/>
        <v>88.16120907</v>
      </c>
      <c r="I20" s="8">
        <v>4.0</v>
      </c>
      <c r="J20" s="7"/>
    </row>
    <row r="21">
      <c r="B21" s="8">
        <v>7.0</v>
      </c>
      <c r="C21" s="8">
        <v>1959.0</v>
      </c>
      <c r="D21" s="7"/>
      <c r="E21" s="8">
        <v>1.0</v>
      </c>
      <c r="F21" s="8">
        <v>1763.0</v>
      </c>
      <c r="G21" s="8">
        <v>89.99</v>
      </c>
      <c r="H21" s="10">
        <f t="shared" si="3"/>
        <v>88.81612091</v>
      </c>
      <c r="I21" s="8">
        <v>4.0</v>
      </c>
      <c r="J21" s="7"/>
    </row>
    <row r="22">
      <c r="B22" s="8">
        <v>8.0</v>
      </c>
      <c r="C22" s="8">
        <v>1959.0</v>
      </c>
      <c r="D22" s="7"/>
      <c r="E22" s="7"/>
      <c r="F22" s="8">
        <v>1774.0</v>
      </c>
      <c r="G22" s="8">
        <v>90.55</v>
      </c>
      <c r="H22" s="10">
        <f t="shared" si="3"/>
        <v>89.37027708</v>
      </c>
      <c r="I22" s="8">
        <v>4.0</v>
      </c>
      <c r="J22" s="7"/>
    </row>
    <row r="23">
      <c r="B23" s="8">
        <v>9.0</v>
      </c>
      <c r="C23" s="8">
        <v>1959.0</v>
      </c>
      <c r="D23" s="7"/>
      <c r="E23" s="7"/>
      <c r="F23" s="9">
        <v>1775.0</v>
      </c>
      <c r="G23" s="8">
        <v>90.76</v>
      </c>
      <c r="H23" s="10">
        <f t="shared" si="3"/>
        <v>89.42065491</v>
      </c>
      <c r="I23" s="8">
        <v>4.0</v>
      </c>
      <c r="J23" s="7"/>
    </row>
    <row r="24">
      <c r="B24" s="8">
        <v>10.0</v>
      </c>
      <c r="C24" s="8">
        <v>1958.0</v>
      </c>
      <c r="D24" s="7"/>
      <c r="E24" s="8">
        <v>1.0</v>
      </c>
      <c r="F24" s="9">
        <v>1787.0</v>
      </c>
      <c r="G24" s="8">
        <v>91.26</v>
      </c>
      <c r="H24" s="10">
        <f t="shared" si="3"/>
        <v>90.02518892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10"/>
      <c r="I25" s="7"/>
      <c r="J25" s="7"/>
    </row>
    <row r="26">
      <c r="A26" s="5">
        <v>28.0</v>
      </c>
      <c r="B26" s="8">
        <v>11.0</v>
      </c>
      <c r="C26" s="8">
        <v>1958.0</v>
      </c>
      <c r="D26" s="8"/>
      <c r="E26" s="7"/>
      <c r="F26" s="8">
        <v>1769.0</v>
      </c>
      <c r="G26" s="8">
        <v>90.09</v>
      </c>
      <c r="H26" s="10">
        <f t="shared" ref="H26:H32" si="4">F26/1985*100</f>
        <v>89.11838791</v>
      </c>
      <c r="I26" s="8">
        <v>4.0</v>
      </c>
      <c r="J26" s="7"/>
    </row>
    <row r="27">
      <c r="B27" s="8">
        <v>12.0</v>
      </c>
      <c r="C27" s="8">
        <v>1958.0</v>
      </c>
      <c r="D27" s="8"/>
      <c r="E27" s="7"/>
      <c r="F27" s="8">
        <v>1791.0</v>
      </c>
      <c r="G27" s="8">
        <v>91.47</v>
      </c>
      <c r="H27" s="10">
        <f t="shared" si="4"/>
        <v>90.22670025</v>
      </c>
      <c r="I27" s="8">
        <v>4.0</v>
      </c>
      <c r="J27" s="7"/>
    </row>
    <row r="28">
      <c r="B28" s="8">
        <v>13.0</v>
      </c>
      <c r="C28" s="8">
        <v>1956.0</v>
      </c>
      <c r="D28" s="8">
        <v>2.0</v>
      </c>
      <c r="E28" s="7"/>
      <c r="F28" s="8">
        <v>1810.0</v>
      </c>
      <c r="G28" s="8">
        <v>92.53</v>
      </c>
      <c r="H28" s="10">
        <f t="shared" si="4"/>
        <v>91.18387909</v>
      </c>
      <c r="I28" s="8">
        <v>4.0</v>
      </c>
      <c r="J28" s="7"/>
    </row>
    <row r="29">
      <c r="B29" s="8">
        <v>14.0</v>
      </c>
      <c r="C29" s="8">
        <v>1956.0</v>
      </c>
      <c r="D29" s="7"/>
      <c r="E29" s="7"/>
      <c r="F29" s="8">
        <v>1791.0</v>
      </c>
      <c r="G29" s="8">
        <v>91.56</v>
      </c>
      <c r="H29" s="10">
        <f t="shared" si="4"/>
        <v>90.22670025</v>
      </c>
      <c r="I29" s="8">
        <v>4.0</v>
      </c>
      <c r="J29" s="7"/>
    </row>
    <row r="30">
      <c r="B30" s="8">
        <v>15.0</v>
      </c>
      <c r="C30" s="8">
        <v>1956.0</v>
      </c>
      <c r="D30" s="7"/>
      <c r="E30" s="8"/>
      <c r="F30" s="8">
        <v>1805.0</v>
      </c>
      <c r="G30" s="8">
        <v>92.28</v>
      </c>
      <c r="H30" s="10">
        <f t="shared" si="4"/>
        <v>90.93198992</v>
      </c>
      <c r="I30" s="8">
        <v>4.0</v>
      </c>
      <c r="J30" s="7"/>
    </row>
    <row r="31">
      <c r="B31" s="8">
        <v>16.0</v>
      </c>
      <c r="C31" s="8">
        <v>1956.0</v>
      </c>
      <c r="D31" s="7"/>
      <c r="E31" s="8"/>
      <c r="F31" s="9">
        <v>1825.0</v>
      </c>
      <c r="G31" s="8">
        <v>93.3</v>
      </c>
      <c r="H31" s="10">
        <f t="shared" si="4"/>
        <v>91.9395466</v>
      </c>
      <c r="I31" s="8">
        <v>4.0</v>
      </c>
      <c r="J31" s="7"/>
    </row>
    <row r="32">
      <c r="B32" s="8">
        <v>17.0</v>
      </c>
      <c r="C32" s="8">
        <v>1955.0</v>
      </c>
      <c r="D32" s="8">
        <v>1.0</v>
      </c>
      <c r="E32" s="7"/>
      <c r="F32" s="9">
        <v>1823.0</v>
      </c>
      <c r="G32" s="8">
        <v>93.29</v>
      </c>
      <c r="H32" s="10">
        <f t="shared" si="4"/>
        <v>91.83879093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29.0</v>
      </c>
      <c r="B2" s="8">
        <v>18.0</v>
      </c>
      <c r="C2" s="8">
        <v>1955.0</v>
      </c>
      <c r="D2" s="7"/>
      <c r="E2" s="8"/>
      <c r="F2" s="8">
        <v>1833.0</v>
      </c>
      <c r="G2" s="8">
        <v>93.75</v>
      </c>
      <c r="H2" s="10">
        <f t="shared" ref="H2:H8" si="1">TRUNC(F2/1985*100, 2)</f>
        <v>92.34</v>
      </c>
      <c r="I2" s="8">
        <v>4.0</v>
      </c>
      <c r="J2" s="7"/>
    </row>
    <row r="3">
      <c r="B3" s="8">
        <v>19.0</v>
      </c>
      <c r="C3" s="8">
        <v>1955.0</v>
      </c>
      <c r="D3" s="7"/>
      <c r="E3" s="7"/>
      <c r="F3" s="8">
        <v>1817.0</v>
      </c>
      <c r="G3" s="8">
        <v>92.94</v>
      </c>
      <c r="H3" s="10">
        <f t="shared" si="1"/>
        <v>91.53</v>
      </c>
      <c r="I3" s="8">
        <v>4.0</v>
      </c>
      <c r="J3" s="7"/>
    </row>
    <row r="4">
      <c r="B4" s="8">
        <v>20.0</v>
      </c>
      <c r="C4" s="8">
        <v>1955.0</v>
      </c>
      <c r="D4" s="7"/>
      <c r="E4" s="7"/>
      <c r="F4" s="8">
        <v>1754.0</v>
      </c>
      <c r="G4" s="8">
        <v>89.17</v>
      </c>
      <c r="H4" s="10">
        <f t="shared" si="1"/>
        <v>88.36</v>
      </c>
      <c r="I4" s="8">
        <v>4.0</v>
      </c>
      <c r="J4" s="7"/>
    </row>
    <row r="5">
      <c r="B5" s="8">
        <v>21.0</v>
      </c>
      <c r="C5" s="8">
        <v>1955.0</v>
      </c>
      <c r="D5" s="7"/>
      <c r="E5" s="7"/>
      <c r="F5" s="8">
        <v>1810.0</v>
      </c>
      <c r="G5" s="8">
        <v>92.58</v>
      </c>
      <c r="H5" s="10">
        <f t="shared" si="1"/>
        <v>91.18</v>
      </c>
      <c r="I5" s="8">
        <v>5.0</v>
      </c>
      <c r="J5" s="7"/>
    </row>
    <row r="6">
      <c r="B6" s="8">
        <v>22.0</v>
      </c>
      <c r="C6" s="8">
        <v>1955.0</v>
      </c>
      <c r="D6" s="7"/>
      <c r="E6" s="7"/>
      <c r="F6" s="8">
        <v>1793.0</v>
      </c>
      <c r="G6" s="8">
        <v>91.71</v>
      </c>
      <c r="H6" s="10">
        <f t="shared" si="1"/>
        <v>90.32</v>
      </c>
      <c r="I6" s="8">
        <v>4.0</v>
      </c>
      <c r="J6" s="7"/>
      <c r="O6" s="12" t="s">
        <v>13</v>
      </c>
    </row>
    <row r="7">
      <c r="B7" s="8">
        <v>23.0</v>
      </c>
      <c r="C7" s="8">
        <v>1955.0</v>
      </c>
      <c r="D7" s="7"/>
      <c r="E7" s="7"/>
      <c r="F7" s="9">
        <v>1800.0</v>
      </c>
      <c r="G7" s="8">
        <v>92.07</v>
      </c>
      <c r="H7" s="10">
        <f t="shared" si="1"/>
        <v>90.68</v>
      </c>
      <c r="I7" s="8">
        <v>4.5</v>
      </c>
      <c r="J7" s="7"/>
    </row>
    <row r="8">
      <c r="B8" s="8">
        <v>24.0</v>
      </c>
      <c r="C8" s="8">
        <v>1954.0</v>
      </c>
      <c r="D8" s="8">
        <v>1.0</v>
      </c>
      <c r="E8" s="7"/>
      <c r="F8" s="9">
        <v>1814.0</v>
      </c>
      <c r="G8" s="8">
        <v>92.83</v>
      </c>
      <c r="H8" s="10">
        <f t="shared" si="1"/>
        <v>91.38</v>
      </c>
      <c r="I8" s="8">
        <v>4.5</v>
      </c>
      <c r="J8" s="7"/>
    </row>
    <row r="9">
      <c r="A9" s="7"/>
      <c r="B9" s="7"/>
      <c r="C9" s="7"/>
      <c r="D9" s="7"/>
      <c r="E9" s="7"/>
      <c r="F9" s="7"/>
      <c r="G9" s="7"/>
      <c r="H9" s="10"/>
      <c r="I9" s="7"/>
      <c r="J9" s="7"/>
    </row>
    <row r="10">
      <c r="A10" s="5">
        <v>30.0</v>
      </c>
      <c r="B10" s="8">
        <v>25.0</v>
      </c>
      <c r="C10" s="8">
        <v>1953.0</v>
      </c>
      <c r="D10" s="8">
        <v>1.0</v>
      </c>
      <c r="E10" s="7"/>
      <c r="F10" s="9">
        <v>1764.0</v>
      </c>
      <c r="G10" s="8">
        <v>90.32</v>
      </c>
      <c r="H10" s="10">
        <f t="shared" ref="H10:H16" si="2">TRUNC(F10/1985*100, 2)</f>
        <v>88.86</v>
      </c>
      <c r="I10" s="8">
        <v>4.5</v>
      </c>
      <c r="J10" s="7"/>
    </row>
    <row r="11">
      <c r="B11" s="8">
        <v>26.0</v>
      </c>
      <c r="C11" s="8">
        <v>1953.0</v>
      </c>
      <c r="D11" s="7"/>
      <c r="E11" s="7"/>
      <c r="F11" s="9">
        <v>1814.0</v>
      </c>
      <c r="G11" s="8">
        <v>92.88</v>
      </c>
      <c r="H11" s="10">
        <f t="shared" si="2"/>
        <v>91.38</v>
      </c>
      <c r="I11" s="8">
        <v>4.5</v>
      </c>
      <c r="J11" s="7"/>
    </row>
    <row r="12">
      <c r="B12" s="8">
        <v>27.0</v>
      </c>
      <c r="C12" s="8">
        <v>1951.0</v>
      </c>
      <c r="D12" s="8">
        <v>2.0</v>
      </c>
      <c r="E12" s="7"/>
      <c r="F12" s="9">
        <v>1795.0</v>
      </c>
      <c r="G12" s="8">
        <v>92.0</v>
      </c>
      <c r="H12" s="10">
        <f t="shared" si="2"/>
        <v>90.42</v>
      </c>
      <c r="I12" s="8">
        <v>4.5</v>
      </c>
      <c r="J12" s="7"/>
    </row>
    <row r="13">
      <c r="B13" s="8">
        <v>28.0</v>
      </c>
      <c r="C13" s="8">
        <v>1951.0</v>
      </c>
      <c r="D13" s="7"/>
      <c r="E13" s="8"/>
      <c r="F13" s="9">
        <v>1830.0</v>
      </c>
      <c r="G13" s="8">
        <v>93.79</v>
      </c>
      <c r="H13" s="10">
        <f t="shared" si="2"/>
        <v>92.19</v>
      </c>
      <c r="I13" s="8">
        <v>4.5</v>
      </c>
      <c r="J13" s="7"/>
    </row>
    <row r="14">
      <c r="B14" s="8">
        <v>29.0</v>
      </c>
      <c r="C14" s="8">
        <v>1951.0</v>
      </c>
      <c r="D14" s="7"/>
      <c r="E14" s="8"/>
      <c r="F14" s="9">
        <v>1805.0</v>
      </c>
      <c r="G14" s="8">
        <v>92.51</v>
      </c>
      <c r="H14" s="10">
        <f t="shared" si="2"/>
        <v>90.93</v>
      </c>
      <c r="I14" s="8">
        <v>4.5</v>
      </c>
      <c r="J14" s="7"/>
    </row>
    <row r="15">
      <c r="B15" s="8">
        <v>30.0</v>
      </c>
      <c r="C15" s="8">
        <v>1950.0</v>
      </c>
      <c r="D15" s="8">
        <v>1.0</v>
      </c>
      <c r="E15" s="7"/>
      <c r="F15" s="9">
        <v>1770.0</v>
      </c>
      <c r="G15" s="8">
        <v>90.76</v>
      </c>
      <c r="H15" s="10">
        <f t="shared" si="2"/>
        <v>89.16</v>
      </c>
      <c r="I15" s="8">
        <v>4.0</v>
      </c>
      <c r="J15" s="7"/>
    </row>
    <row r="16">
      <c r="B16" s="8">
        <v>31.0</v>
      </c>
      <c r="C16" s="8">
        <v>1950.0</v>
      </c>
      <c r="D16" s="7"/>
      <c r="E16" s="8"/>
      <c r="F16" s="9">
        <v>1880.0</v>
      </c>
      <c r="G16" s="8">
        <v>92.3</v>
      </c>
      <c r="H16" s="10">
        <f t="shared" si="2"/>
        <v>94.71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10"/>
      <c r="I17" s="7"/>
      <c r="J17" s="7"/>
    </row>
    <row r="18">
      <c r="A18" s="5">
        <v>31.0</v>
      </c>
      <c r="B18" s="6">
        <v>45748.0</v>
      </c>
      <c r="C18" s="8">
        <v>1949.0</v>
      </c>
      <c r="D18" s="8">
        <v>1.0</v>
      </c>
      <c r="E18" s="8"/>
      <c r="F18" s="8">
        <v>1749.0</v>
      </c>
      <c r="G18" s="8">
        <v>89.73</v>
      </c>
      <c r="H18" s="10">
        <f t="shared" ref="H18:H24" si="3">TRUNC(F18/1985*100, 2)</f>
        <v>88.11</v>
      </c>
      <c r="I18" s="8">
        <v>4.0</v>
      </c>
      <c r="J18" s="7"/>
    </row>
    <row r="19">
      <c r="B19" s="8">
        <v>2.0</v>
      </c>
      <c r="C19" s="8">
        <v>1948.0</v>
      </c>
      <c r="D19" s="8">
        <v>1.0</v>
      </c>
      <c r="E19" s="7"/>
      <c r="F19" s="8">
        <v>1768.0</v>
      </c>
      <c r="G19" s="8">
        <v>90.75</v>
      </c>
      <c r="H19" s="10">
        <f t="shared" si="3"/>
        <v>89.06</v>
      </c>
      <c r="I19" s="8">
        <v>4.0</v>
      </c>
      <c r="J19" s="7"/>
    </row>
    <row r="20">
      <c r="B20" s="8">
        <v>3.0</v>
      </c>
      <c r="C20" s="8">
        <v>1947.0</v>
      </c>
      <c r="D20" s="8">
        <v>1.0</v>
      </c>
      <c r="E20" s="7"/>
      <c r="F20" s="8">
        <v>1771.0</v>
      </c>
      <c r="G20" s="8">
        <v>90.96</v>
      </c>
      <c r="H20" s="10">
        <f t="shared" si="3"/>
        <v>89.21</v>
      </c>
      <c r="I20" s="8">
        <v>4.0</v>
      </c>
      <c r="J20" s="7"/>
    </row>
    <row r="21">
      <c r="B21" s="8">
        <v>4.0</v>
      </c>
      <c r="C21" s="8">
        <v>1947.0</v>
      </c>
      <c r="D21" s="7"/>
      <c r="E21" s="8"/>
      <c r="F21" s="8">
        <v>1770.0</v>
      </c>
      <c r="G21" s="8">
        <v>90.9</v>
      </c>
      <c r="H21" s="10">
        <f t="shared" si="3"/>
        <v>89.16</v>
      </c>
      <c r="I21" s="8">
        <v>4.0</v>
      </c>
      <c r="J21" s="7"/>
    </row>
    <row r="22">
      <c r="B22" s="8">
        <v>5.0</v>
      </c>
      <c r="C22" s="8">
        <v>1946.0</v>
      </c>
      <c r="D22" s="8">
        <v>1.0</v>
      </c>
      <c r="E22" s="7"/>
      <c r="F22" s="8">
        <v>1745.0</v>
      </c>
      <c r="G22" s="8">
        <v>89.67</v>
      </c>
      <c r="H22" s="10">
        <f t="shared" si="3"/>
        <v>87.9</v>
      </c>
      <c r="I22" s="8">
        <v>4.0</v>
      </c>
      <c r="J22" s="7"/>
    </row>
    <row r="23">
      <c r="B23" s="8">
        <v>6.0</v>
      </c>
      <c r="C23" s="8">
        <v>1946.0</v>
      </c>
      <c r="D23" s="7"/>
      <c r="E23" s="7"/>
      <c r="F23" s="9">
        <v>1770.0</v>
      </c>
      <c r="G23" s="8">
        <v>90.95</v>
      </c>
      <c r="H23" s="10">
        <f t="shared" si="3"/>
        <v>89.16</v>
      </c>
      <c r="I23" s="8">
        <v>4.0</v>
      </c>
      <c r="J23" s="7"/>
    </row>
    <row r="24">
      <c r="B24" s="8">
        <v>7.0</v>
      </c>
      <c r="C24" s="8">
        <v>1946.0</v>
      </c>
      <c r="D24" s="7"/>
      <c r="E24" s="8"/>
      <c r="F24" s="9">
        <v>1740.0</v>
      </c>
      <c r="G24" s="8">
        <v>89.41</v>
      </c>
      <c r="H24" s="10">
        <f t="shared" si="3"/>
        <v>87.65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10"/>
      <c r="I25" s="7"/>
      <c r="J25" s="7"/>
    </row>
    <row r="26">
      <c r="A26" s="5">
        <v>32.0</v>
      </c>
      <c r="B26" s="8">
        <v>8.0</v>
      </c>
      <c r="C26" s="8">
        <v>1946.0</v>
      </c>
      <c r="D26" s="8"/>
      <c r="E26" s="7"/>
      <c r="F26" s="8">
        <v>1770.0</v>
      </c>
      <c r="G26" s="8">
        <v>90.95</v>
      </c>
      <c r="H26" s="10">
        <f t="shared" ref="H26:H32" si="4">TRUNC(F26/1985*100, 2)</f>
        <v>89.16</v>
      </c>
      <c r="I26" s="8">
        <v>5.0</v>
      </c>
      <c r="J26" s="7"/>
    </row>
    <row r="27">
      <c r="B27" s="8">
        <v>9.0</v>
      </c>
      <c r="C27" s="8">
        <v>1945.0</v>
      </c>
      <c r="D27" s="8">
        <v>1.0</v>
      </c>
      <c r="E27" s="7"/>
      <c r="F27" s="8">
        <v>1758.0</v>
      </c>
      <c r="G27" s="8">
        <v>90.38</v>
      </c>
      <c r="H27" s="10">
        <f t="shared" si="4"/>
        <v>88.56</v>
      </c>
      <c r="I27" s="8">
        <v>4.0</v>
      </c>
      <c r="J27" s="7"/>
    </row>
    <row r="28">
      <c r="B28" s="8">
        <v>10.0</v>
      </c>
      <c r="C28" s="8">
        <v>1945.0</v>
      </c>
      <c r="D28" s="8"/>
      <c r="E28" s="7"/>
      <c r="F28" s="8">
        <v>1740.0</v>
      </c>
      <c r="G28" s="8">
        <v>89.46</v>
      </c>
      <c r="H28" s="10">
        <f t="shared" si="4"/>
        <v>87.65</v>
      </c>
      <c r="I28" s="8">
        <v>4.0</v>
      </c>
      <c r="J28" s="7"/>
    </row>
    <row r="29">
      <c r="B29" s="8">
        <v>11.0</v>
      </c>
      <c r="C29" s="8">
        <v>1944.0</v>
      </c>
      <c r="D29" s="8">
        <v>1.0</v>
      </c>
      <c r="E29" s="7"/>
      <c r="F29" s="8">
        <v>1788.0</v>
      </c>
      <c r="G29" s="8">
        <v>91.97</v>
      </c>
      <c r="H29" s="10">
        <f t="shared" si="4"/>
        <v>90.07</v>
      </c>
      <c r="I29" s="8">
        <v>4.0</v>
      </c>
      <c r="J29" s="7"/>
    </row>
    <row r="30">
      <c r="B30" s="8">
        <v>12.0</v>
      </c>
      <c r="C30" s="8">
        <v>1944.0</v>
      </c>
      <c r="D30" s="7"/>
      <c r="E30" s="8"/>
      <c r="F30" s="8">
        <v>1719.0</v>
      </c>
      <c r="G30" s="8">
        <v>88.42</v>
      </c>
      <c r="H30" s="10">
        <f t="shared" si="4"/>
        <v>86.59</v>
      </c>
      <c r="I30" s="8">
        <v>4.0</v>
      </c>
      <c r="J30" s="7"/>
    </row>
    <row r="31">
      <c r="B31" s="8">
        <v>13.0</v>
      </c>
      <c r="C31" s="8">
        <v>1944.0</v>
      </c>
      <c r="D31" s="7"/>
      <c r="E31" s="8"/>
      <c r="F31" s="9">
        <v>1770.0</v>
      </c>
      <c r="G31" s="8">
        <v>91.04</v>
      </c>
      <c r="H31" s="10">
        <f t="shared" si="4"/>
        <v>89.16</v>
      </c>
      <c r="I31" s="8">
        <v>4.0</v>
      </c>
      <c r="J31" s="7"/>
    </row>
    <row r="32">
      <c r="B32" s="8">
        <v>14.0</v>
      </c>
      <c r="C32" s="8">
        <v>1943.0</v>
      </c>
      <c r="D32" s="8">
        <v>1.0</v>
      </c>
      <c r="E32" s="7"/>
      <c r="F32" s="9">
        <v>1767.0</v>
      </c>
      <c r="G32" s="8">
        <v>90.94</v>
      </c>
      <c r="H32" s="10">
        <f t="shared" si="4"/>
        <v>89.01</v>
      </c>
      <c r="I32" s="8">
        <v>3.5</v>
      </c>
      <c r="J32" s="7"/>
    </row>
    <row r="33">
      <c r="H33" s="10"/>
    </row>
    <row r="34">
      <c r="A34" s="5">
        <v>33.0</v>
      </c>
      <c r="B34" s="8">
        <v>15.0</v>
      </c>
      <c r="C34" s="8">
        <v>1941.0</v>
      </c>
      <c r="D34" s="8">
        <v>2.0</v>
      </c>
      <c r="E34" s="7"/>
      <c r="F34" s="8">
        <v>1738.0</v>
      </c>
      <c r="G34" s="8">
        <v>89.54</v>
      </c>
      <c r="H34" s="10">
        <f t="shared" ref="H34:H40" si="5">TRUNC(F34/1985*100, 2)</f>
        <v>87.55</v>
      </c>
      <c r="I34" s="8">
        <v>3.5</v>
      </c>
    </row>
    <row r="35">
      <c r="B35" s="8">
        <v>16.0</v>
      </c>
      <c r="C35" s="8">
        <v>1940.0</v>
      </c>
      <c r="D35" s="8">
        <v>1.0</v>
      </c>
      <c r="E35" s="7"/>
      <c r="F35" s="8">
        <v>1741.0</v>
      </c>
      <c r="G35" s="8">
        <v>89.74</v>
      </c>
      <c r="H35" s="10">
        <f t="shared" si="5"/>
        <v>87.7</v>
      </c>
      <c r="I35" s="8">
        <v>3.0</v>
      </c>
    </row>
    <row r="36">
      <c r="B36" s="8">
        <v>17.0</v>
      </c>
      <c r="C36" s="8">
        <v>1940.0</v>
      </c>
      <c r="D36" s="8"/>
      <c r="E36" s="7"/>
      <c r="F36" s="8">
        <v>1710.0</v>
      </c>
      <c r="G36" s="8">
        <v>88.14</v>
      </c>
      <c r="H36" s="10">
        <f t="shared" si="5"/>
        <v>86.14</v>
      </c>
      <c r="I36" s="8">
        <v>3.0</v>
      </c>
    </row>
    <row r="37">
      <c r="B37" s="8">
        <v>18.0</v>
      </c>
      <c r="C37" s="8">
        <v>1940.0</v>
      </c>
      <c r="D37" s="8"/>
      <c r="E37" s="7"/>
      <c r="F37" s="8">
        <v>1700.0</v>
      </c>
      <c r="G37" s="8">
        <v>87.62</v>
      </c>
      <c r="H37" s="10">
        <f t="shared" si="5"/>
        <v>85.64</v>
      </c>
      <c r="I37" s="8">
        <v>5.0</v>
      </c>
    </row>
    <row r="38">
      <c r="B38" s="8">
        <v>19.0</v>
      </c>
      <c r="C38" s="8">
        <v>1939.0</v>
      </c>
      <c r="D38" s="8">
        <v>1.0</v>
      </c>
      <c r="E38" s="8"/>
      <c r="F38" s="8">
        <v>1699.0</v>
      </c>
      <c r="G38" s="8">
        <v>87.62</v>
      </c>
      <c r="H38" s="10">
        <f t="shared" si="5"/>
        <v>85.59</v>
      </c>
      <c r="I38" s="8">
        <v>4.0</v>
      </c>
    </row>
    <row r="39">
      <c r="B39" s="8">
        <v>20.0</v>
      </c>
      <c r="C39" s="8">
        <v>1938.0</v>
      </c>
      <c r="D39" s="8">
        <v>1.0</v>
      </c>
      <c r="E39" s="8"/>
      <c r="F39" s="9">
        <v>1772.0</v>
      </c>
      <c r="G39" s="8">
        <v>88.85</v>
      </c>
      <c r="H39" s="10">
        <f t="shared" si="5"/>
        <v>89.26</v>
      </c>
      <c r="I39" s="8">
        <v>4.5</v>
      </c>
    </row>
    <row r="40">
      <c r="B40" s="8">
        <v>21.0</v>
      </c>
      <c r="C40" s="8">
        <v>1937.0</v>
      </c>
      <c r="D40" s="8">
        <v>1.0</v>
      </c>
      <c r="E40" s="7"/>
      <c r="F40" s="9">
        <v>1720.0</v>
      </c>
      <c r="G40" s="8">
        <v>88.79</v>
      </c>
      <c r="H40" s="10">
        <f t="shared" si="5"/>
        <v>86.64</v>
      </c>
      <c r="I40" s="8">
        <v>4.5</v>
      </c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3" t="s">
        <v>7</v>
      </c>
      <c r="H1" s="2" t="s">
        <v>8</v>
      </c>
      <c r="I1" s="2" t="s">
        <v>9</v>
      </c>
      <c r="J1" s="4"/>
    </row>
    <row r="2">
      <c r="A2" s="5">
        <v>34.0</v>
      </c>
      <c r="B2" s="8">
        <v>22.0</v>
      </c>
      <c r="C2" s="8">
        <v>1935.0</v>
      </c>
      <c r="D2" s="8">
        <v>2.0</v>
      </c>
      <c r="E2" s="8"/>
      <c r="F2" s="8">
        <v>1710.0</v>
      </c>
      <c r="G2" s="10">
        <f t="shared" ref="G2:G8" si="1">TRUNC(F2/C2*100, 2)</f>
        <v>88.37</v>
      </c>
      <c r="H2" s="8">
        <f t="shared" ref="H2:H8" si="2">TRUNC(F2/1985*100, 2)</f>
        <v>86.14</v>
      </c>
      <c r="I2" s="8">
        <v>4.0</v>
      </c>
      <c r="J2" s="7"/>
    </row>
    <row r="3">
      <c r="B3" s="8">
        <v>23.0</v>
      </c>
      <c r="C3" s="8">
        <v>1934.0</v>
      </c>
      <c r="D3" s="8">
        <v>1.0</v>
      </c>
      <c r="E3" s="7"/>
      <c r="F3" s="8">
        <v>1723.0</v>
      </c>
      <c r="G3" s="10">
        <f t="shared" si="1"/>
        <v>89.08</v>
      </c>
      <c r="H3" s="8">
        <f t="shared" si="2"/>
        <v>86.8</v>
      </c>
      <c r="I3" s="8">
        <v>4.0</v>
      </c>
      <c r="J3" s="7"/>
    </row>
    <row r="4">
      <c r="B4" s="8">
        <v>24.0</v>
      </c>
      <c r="C4" s="8">
        <v>1934.0</v>
      </c>
      <c r="D4" s="7"/>
      <c r="E4" s="7"/>
      <c r="F4" s="8">
        <v>1722.0</v>
      </c>
      <c r="G4" s="10">
        <f t="shared" si="1"/>
        <v>89.03</v>
      </c>
      <c r="H4" s="8">
        <f t="shared" si="2"/>
        <v>86.75</v>
      </c>
      <c r="I4" s="8">
        <v>4.0</v>
      </c>
      <c r="J4" s="7"/>
    </row>
    <row r="5">
      <c r="B5" s="8">
        <v>25.0</v>
      </c>
      <c r="C5" s="8">
        <v>1932.0</v>
      </c>
      <c r="D5" s="8">
        <v>1.0</v>
      </c>
      <c r="E5" s="7"/>
      <c r="F5" s="8">
        <v>1732.0</v>
      </c>
      <c r="G5" s="10">
        <f t="shared" si="1"/>
        <v>89.64</v>
      </c>
      <c r="H5" s="8">
        <f t="shared" si="2"/>
        <v>87.25</v>
      </c>
      <c r="I5" s="8">
        <v>4.5</v>
      </c>
      <c r="J5" s="7"/>
    </row>
    <row r="6">
      <c r="B6" s="8">
        <v>26.0</v>
      </c>
      <c r="C6" s="8">
        <v>1929.0</v>
      </c>
      <c r="D6" s="8">
        <v>3.0</v>
      </c>
      <c r="E6" s="7"/>
      <c r="F6" s="8">
        <v>1729.0</v>
      </c>
      <c r="G6" s="10">
        <f t="shared" si="1"/>
        <v>89.63</v>
      </c>
      <c r="H6" s="8">
        <f t="shared" si="2"/>
        <v>87.1</v>
      </c>
      <c r="I6" s="8">
        <v>4.0</v>
      </c>
      <c r="J6" s="7"/>
      <c r="O6" s="12" t="s">
        <v>13</v>
      </c>
    </row>
    <row r="7">
      <c r="B7" s="8">
        <v>27.0</v>
      </c>
      <c r="C7" s="8">
        <v>1928.0</v>
      </c>
      <c r="D7" s="8">
        <v>1.0</v>
      </c>
      <c r="E7" s="7"/>
      <c r="F7" s="9">
        <v>1717.0</v>
      </c>
      <c r="G7" s="10">
        <f t="shared" si="1"/>
        <v>89.05</v>
      </c>
      <c r="H7" s="8">
        <f t="shared" si="2"/>
        <v>86.49</v>
      </c>
      <c r="I7" s="8">
        <v>4.5</v>
      </c>
      <c r="J7" s="7"/>
    </row>
    <row r="8">
      <c r="B8" s="8">
        <v>28.0</v>
      </c>
      <c r="C8" s="8">
        <v>1927.0</v>
      </c>
      <c r="D8" s="8">
        <v>1.0</v>
      </c>
      <c r="E8" s="7"/>
      <c r="F8" s="9">
        <v>1722.0</v>
      </c>
      <c r="G8" s="10">
        <f t="shared" si="1"/>
        <v>89.36</v>
      </c>
      <c r="H8" s="8">
        <f t="shared" si="2"/>
        <v>86.75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8"/>
      <c r="I9" s="7"/>
      <c r="J9" s="7"/>
    </row>
    <row r="10">
      <c r="A10" s="5">
        <v>35.0</v>
      </c>
      <c r="B10" s="8">
        <v>29.0</v>
      </c>
      <c r="C10" s="8">
        <v>1927.0</v>
      </c>
      <c r="D10" s="8"/>
      <c r="E10" s="7"/>
      <c r="F10" s="9">
        <v>1712.0</v>
      </c>
      <c r="G10" s="10">
        <f t="shared" ref="G10:G16" si="3">TRUNC(F10/C10*100, 2)</f>
        <v>88.84</v>
      </c>
      <c r="H10" s="10">
        <f t="shared" ref="H10:H13" si="4">F10/1985*100</f>
        <v>86.24685139</v>
      </c>
      <c r="I10" s="8">
        <v>4.0</v>
      </c>
      <c r="J10" s="7"/>
    </row>
    <row r="11">
      <c r="B11" s="8">
        <v>30.0</v>
      </c>
      <c r="C11" s="8">
        <v>1927.0</v>
      </c>
      <c r="D11" s="7"/>
      <c r="E11" s="7"/>
      <c r="F11" s="9">
        <v>1712.0</v>
      </c>
      <c r="G11" s="10">
        <f t="shared" si="3"/>
        <v>88.84</v>
      </c>
      <c r="H11" s="10">
        <f t="shared" si="4"/>
        <v>86.24685139</v>
      </c>
      <c r="I11" s="8">
        <v>4.0</v>
      </c>
      <c r="J11" s="7"/>
    </row>
    <row r="12">
      <c r="B12" s="11">
        <v>45778.0</v>
      </c>
      <c r="C12" s="8">
        <v>1927.0</v>
      </c>
      <c r="D12" s="8"/>
      <c r="E12" s="7"/>
      <c r="F12" s="9">
        <v>1714.0</v>
      </c>
      <c r="G12" s="10">
        <f t="shared" si="3"/>
        <v>88.94</v>
      </c>
      <c r="H12" s="10">
        <f t="shared" si="4"/>
        <v>86.34760705</v>
      </c>
      <c r="I12" s="8">
        <v>4.5</v>
      </c>
      <c r="J12" s="7"/>
    </row>
    <row r="13">
      <c r="B13" s="12">
        <v>2.0</v>
      </c>
      <c r="C13" s="8">
        <v>1927.0</v>
      </c>
      <c r="D13" s="7"/>
      <c r="E13" s="8"/>
      <c r="F13" s="9">
        <v>1710.0</v>
      </c>
      <c r="G13" s="10">
        <f t="shared" si="3"/>
        <v>88.73</v>
      </c>
      <c r="H13" s="10">
        <f t="shared" si="4"/>
        <v>86.14609572</v>
      </c>
      <c r="I13" s="8">
        <v>4.0</v>
      </c>
      <c r="J13" s="7"/>
    </row>
    <row r="14">
      <c r="B14" s="8">
        <v>3.0</v>
      </c>
      <c r="C14" s="8">
        <v>1925.0</v>
      </c>
      <c r="D14" s="8">
        <v>2.0</v>
      </c>
      <c r="E14" s="8"/>
      <c r="F14" s="9">
        <v>1725.0</v>
      </c>
      <c r="G14" s="10">
        <f t="shared" si="3"/>
        <v>89.61</v>
      </c>
      <c r="H14" s="8">
        <f t="shared" ref="H14:H16" si="5">TRUNC(F14/1985*100, 2)</f>
        <v>86.9</v>
      </c>
      <c r="I14" s="8">
        <v>4.5</v>
      </c>
      <c r="J14" s="7"/>
    </row>
    <row r="15">
      <c r="B15" s="8">
        <v>4.0</v>
      </c>
      <c r="C15" s="8">
        <v>1923.0</v>
      </c>
      <c r="D15" s="8">
        <v>2.0</v>
      </c>
      <c r="E15" s="7"/>
      <c r="F15" s="9">
        <v>1705.0</v>
      </c>
      <c r="G15" s="10">
        <f t="shared" si="3"/>
        <v>88.66</v>
      </c>
      <c r="H15" s="8">
        <f t="shared" si="5"/>
        <v>85.89</v>
      </c>
      <c r="I15" s="8">
        <v>4.0</v>
      </c>
      <c r="J15" s="7"/>
    </row>
    <row r="16">
      <c r="B16" s="8">
        <v>5.0</v>
      </c>
      <c r="C16" s="8">
        <v>1923.0</v>
      </c>
      <c r="D16" s="7"/>
      <c r="E16" s="8"/>
      <c r="F16" s="9">
        <v>1700.0</v>
      </c>
      <c r="G16" s="10">
        <f t="shared" si="3"/>
        <v>88.4</v>
      </c>
      <c r="H16" s="8">
        <f t="shared" si="5"/>
        <v>85.64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36.0</v>
      </c>
      <c r="B18" s="8">
        <v>6.0</v>
      </c>
      <c r="C18" s="8">
        <v>1923.0</v>
      </c>
      <c r="D18" s="8"/>
      <c r="E18" s="8"/>
      <c r="F18" s="8">
        <v>1727.0</v>
      </c>
      <c r="G18" s="10">
        <f t="shared" ref="G18:G24" si="6">TRUNC(F18/C18*100, 2)</f>
        <v>89.8</v>
      </c>
      <c r="H18" s="8">
        <f>TRUNC(F18/1985*100, 2)</f>
        <v>87</v>
      </c>
      <c r="I18" s="8">
        <v>4.0</v>
      </c>
      <c r="J18" s="7"/>
    </row>
    <row r="19">
      <c r="B19" s="8">
        <v>7.0</v>
      </c>
      <c r="C19" s="8">
        <v>1923.0</v>
      </c>
      <c r="D19" s="8"/>
      <c r="E19" s="7"/>
      <c r="F19" s="8">
        <v>1710.0</v>
      </c>
      <c r="G19" s="10">
        <f t="shared" si="6"/>
        <v>88.92</v>
      </c>
      <c r="H19" s="10">
        <f t="shared" ref="H19:H23" si="7">F19/1985*100</f>
        <v>86.14609572</v>
      </c>
      <c r="I19" s="8">
        <v>4.0</v>
      </c>
      <c r="J19" s="7"/>
    </row>
    <row r="20">
      <c r="B20" s="8">
        <v>8.0</v>
      </c>
      <c r="C20" s="8">
        <v>1923.0</v>
      </c>
      <c r="D20" s="8"/>
      <c r="E20" s="7"/>
      <c r="F20" s="8">
        <v>1685.0</v>
      </c>
      <c r="G20" s="10">
        <f t="shared" si="6"/>
        <v>87.62</v>
      </c>
      <c r="H20" s="10">
        <f t="shared" si="7"/>
        <v>84.88664987</v>
      </c>
      <c r="I20" s="8">
        <v>4.0</v>
      </c>
      <c r="J20" s="7"/>
    </row>
    <row r="21">
      <c r="B21" s="8">
        <v>9.0</v>
      </c>
      <c r="C21" s="8">
        <v>1923.0</v>
      </c>
      <c r="D21" s="7"/>
      <c r="E21" s="8"/>
      <c r="F21" s="8">
        <v>1693.0</v>
      </c>
      <c r="G21" s="10">
        <f t="shared" si="6"/>
        <v>88.03</v>
      </c>
      <c r="H21" s="10">
        <f t="shared" si="7"/>
        <v>85.28967254</v>
      </c>
      <c r="I21" s="8">
        <v>4.5</v>
      </c>
      <c r="J21" s="7"/>
    </row>
    <row r="22">
      <c r="B22" s="8">
        <v>10.0</v>
      </c>
      <c r="C22" s="8">
        <v>1923.0</v>
      </c>
      <c r="D22" s="8"/>
      <c r="E22" s="7"/>
      <c r="F22" s="8">
        <v>1717.0</v>
      </c>
      <c r="G22" s="10">
        <f t="shared" si="6"/>
        <v>89.28</v>
      </c>
      <c r="H22" s="10">
        <f t="shared" si="7"/>
        <v>86.49874055</v>
      </c>
      <c r="I22" s="8">
        <v>4.0</v>
      </c>
      <c r="J22" s="7"/>
    </row>
    <row r="23">
      <c r="B23" s="8">
        <v>11.0</v>
      </c>
      <c r="C23" s="8">
        <v>1923.0</v>
      </c>
      <c r="D23" s="7"/>
      <c r="E23" s="7"/>
      <c r="F23" s="9">
        <v>1710.0</v>
      </c>
      <c r="G23" s="10">
        <f t="shared" si="6"/>
        <v>88.92</v>
      </c>
      <c r="H23" s="10">
        <f t="shared" si="7"/>
        <v>86.14609572</v>
      </c>
      <c r="I23" s="8">
        <v>4.0</v>
      </c>
      <c r="J23" s="7"/>
    </row>
    <row r="24">
      <c r="B24" s="8">
        <v>12.0</v>
      </c>
      <c r="C24" s="8">
        <v>1923.0</v>
      </c>
      <c r="D24" s="7"/>
      <c r="E24" s="8"/>
      <c r="F24" s="9">
        <v>1726.0</v>
      </c>
      <c r="G24" s="10">
        <f t="shared" si="6"/>
        <v>89.75</v>
      </c>
      <c r="H24" s="8">
        <f>TRUNC(F24/1985*100, 2)</f>
        <v>86.95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37.0</v>
      </c>
      <c r="B26" s="8">
        <v>13.0</v>
      </c>
      <c r="C26" s="8">
        <v>1922.0</v>
      </c>
      <c r="D26" s="8">
        <v>1.0</v>
      </c>
      <c r="E26" s="7"/>
      <c r="F26" s="8">
        <v>1793.0</v>
      </c>
      <c r="G26" s="10">
        <f t="shared" ref="G26:G32" si="8">TRUNC(F26/C26*100, 2)</f>
        <v>93.28</v>
      </c>
      <c r="H26" s="8">
        <f t="shared" ref="H26:H32" si="9">TRUNC(F26/1985*100, 2)</f>
        <v>90.32</v>
      </c>
      <c r="I26" s="8">
        <v>4.0</v>
      </c>
      <c r="J26" s="7"/>
    </row>
    <row r="27">
      <c r="B27" s="8">
        <v>14.0</v>
      </c>
      <c r="C27" s="8">
        <v>1921.0</v>
      </c>
      <c r="D27" s="8">
        <v>1.0</v>
      </c>
      <c r="E27" s="7"/>
      <c r="F27" s="8">
        <v>1790.0</v>
      </c>
      <c r="G27" s="10">
        <f t="shared" si="8"/>
        <v>93.18</v>
      </c>
      <c r="H27" s="8">
        <f t="shared" si="9"/>
        <v>90.17</v>
      </c>
      <c r="I27" s="8">
        <v>4.0</v>
      </c>
      <c r="J27" s="7"/>
    </row>
    <row r="28">
      <c r="B28" s="8">
        <v>15.0</v>
      </c>
      <c r="C28" s="8">
        <v>1920.0</v>
      </c>
      <c r="D28" s="8">
        <v>1.0</v>
      </c>
      <c r="E28" s="7"/>
      <c r="F28" s="8">
        <v>1730.0</v>
      </c>
      <c r="G28" s="10">
        <f t="shared" si="8"/>
        <v>90.1</v>
      </c>
      <c r="H28" s="8">
        <f t="shared" si="9"/>
        <v>87.15</v>
      </c>
      <c r="I28" s="8">
        <v>4.0</v>
      </c>
      <c r="J28" s="7"/>
    </row>
    <row r="29">
      <c r="B29" s="8">
        <v>16.0</v>
      </c>
      <c r="C29" s="8">
        <v>1919.0</v>
      </c>
      <c r="D29" s="8">
        <v>1.0</v>
      </c>
      <c r="E29" s="7"/>
      <c r="F29" s="8">
        <v>1736.0</v>
      </c>
      <c r="G29" s="10">
        <f t="shared" si="8"/>
        <v>90.46</v>
      </c>
      <c r="H29" s="8">
        <f t="shared" si="9"/>
        <v>87.45</v>
      </c>
      <c r="I29" s="8">
        <v>4.5</v>
      </c>
      <c r="J29" s="7"/>
    </row>
    <row r="30">
      <c r="B30" s="8">
        <v>17.0</v>
      </c>
      <c r="C30" s="8">
        <v>1919.0</v>
      </c>
      <c r="D30" s="7"/>
      <c r="E30" s="8"/>
      <c r="F30" s="8">
        <v>1770.0</v>
      </c>
      <c r="G30" s="10">
        <f t="shared" si="8"/>
        <v>92.23</v>
      </c>
      <c r="H30" s="8">
        <f t="shared" si="9"/>
        <v>89.16</v>
      </c>
      <c r="I30" s="8">
        <v>4.0</v>
      </c>
      <c r="J30" s="7"/>
    </row>
    <row r="31">
      <c r="B31" s="8">
        <v>18.0</v>
      </c>
      <c r="C31" s="8">
        <v>1919.0</v>
      </c>
      <c r="D31" s="7"/>
      <c r="E31" s="8"/>
      <c r="F31" s="9">
        <v>1749.0</v>
      </c>
      <c r="G31" s="10">
        <f t="shared" si="8"/>
        <v>91.14</v>
      </c>
      <c r="H31" s="8">
        <f t="shared" si="9"/>
        <v>88.11</v>
      </c>
      <c r="I31" s="8">
        <v>4.0</v>
      </c>
      <c r="J31" s="7"/>
    </row>
    <row r="32">
      <c r="B32" s="8">
        <v>19.0</v>
      </c>
      <c r="C32" s="8">
        <v>1919.0</v>
      </c>
      <c r="D32" s="8"/>
      <c r="E32" s="7"/>
      <c r="F32" s="9">
        <v>1739.0</v>
      </c>
      <c r="G32" s="10">
        <f t="shared" si="8"/>
        <v>90.62</v>
      </c>
      <c r="H32" s="8">
        <f t="shared" si="9"/>
        <v>87.6</v>
      </c>
      <c r="I32" s="8">
        <v>4.0</v>
      </c>
      <c r="J32" s="7"/>
    </row>
    <row r="33">
      <c r="G33" s="14"/>
    </row>
    <row r="34">
      <c r="A34" s="5"/>
      <c r="B34" s="8"/>
      <c r="C34" s="8"/>
      <c r="D34" s="8"/>
      <c r="E34" s="7"/>
      <c r="F34" s="8"/>
      <c r="G34" s="10"/>
      <c r="H34" s="8"/>
      <c r="I34" s="8"/>
    </row>
    <row r="35">
      <c r="B35" s="8"/>
      <c r="C35" s="8"/>
      <c r="D35" s="8"/>
      <c r="E35" s="7"/>
      <c r="F35" s="8"/>
      <c r="G35" s="10"/>
      <c r="H35" s="8"/>
      <c r="I35" s="8"/>
    </row>
    <row r="36">
      <c r="B36" s="8"/>
      <c r="C36" s="8"/>
      <c r="D36" s="8"/>
      <c r="E36" s="7"/>
      <c r="F36" s="8"/>
      <c r="G36" s="10"/>
      <c r="H36" s="8"/>
      <c r="I36" s="8"/>
    </row>
    <row r="37">
      <c r="B37" s="8"/>
      <c r="C37" s="8"/>
      <c r="D37" s="8"/>
      <c r="E37" s="7"/>
      <c r="F37" s="8"/>
      <c r="G37" s="10"/>
      <c r="H37" s="8"/>
      <c r="I37" s="8"/>
    </row>
    <row r="38">
      <c r="B38" s="8"/>
      <c r="C38" s="8"/>
      <c r="D38" s="8"/>
      <c r="E38" s="8"/>
      <c r="F38" s="8"/>
      <c r="G38" s="10"/>
      <c r="H38" s="8"/>
      <c r="I38" s="8"/>
    </row>
    <row r="39">
      <c r="B39" s="8"/>
      <c r="C39" s="8"/>
      <c r="D39" s="8"/>
      <c r="E39" s="8"/>
      <c r="F39" s="9"/>
      <c r="G39" s="10"/>
      <c r="H39" s="8"/>
      <c r="I39" s="8"/>
    </row>
    <row r="40">
      <c r="B40" s="8"/>
      <c r="C40" s="8"/>
      <c r="D40" s="8"/>
      <c r="E40" s="7"/>
      <c r="F40" s="9"/>
      <c r="G40" s="10"/>
      <c r="H40" s="8"/>
      <c r="I40" s="8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3" t="s">
        <v>7</v>
      </c>
      <c r="H1" s="2" t="s">
        <v>8</v>
      </c>
      <c r="I1" s="2" t="s">
        <v>9</v>
      </c>
      <c r="J1" s="4"/>
    </row>
    <row r="2">
      <c r="A2" s="5">
        <v>38.0</v>
      </c>
      <c r="B2" s="8">
        <v>20.0</v>
      </c>
      <c r="C2" s="8">
        <v>1919.0</v>
      </c>
      <c r="D2" s="8"/>
      <c r="E2" s="8"/>
      <c r="F2" s="8">
        <v>1740.0</v>
      </c>
      <c r="G2" s="10">
        <f t="shared" ref="G2:G8" si="1">TRUNC(F2/C2*100, 2)</f>
        <v>90.67</v>
      </c>
      <c r="H2" s="8">
        <f t="shared" ref="H2:H8" si="2">TRUNC(F2/1985*100, 2)</f>
        <v>87.65</v>
      </c>
      <c r="I2" s="8">
        <v>4.0</v>
      </c>
      <c r="J2" s="7"/>
    </row>
    <row r="3">
      <c r="B3" s="8">
        <v>21.0</v>
      </c>
      <c r="C3" s="8">
        <v>1919.0</v>
      </c>
      <c r="D3" s="8"/>
      <c r="E3" s="7"/>
      <c r="F3" s="8">
        <v>1746.0</v>
      </c>
      <c r="G3" s="10">
        <f t="shared" si="1"/>
        <v>90.98</v>
      </c>
      <c r="H3" s="8">
        <f t="shared" si="2"/>
        <v>87.95</v>
      </c>
      <c r="I3" s="8">
        <v>4.0</v>
      </c>
      <c r="J3" s="7"/>
    </row>
    <row r="4">
      <c r="B4" s="8">
        <v>22.0</v>
      </c>
      <c r="C4" s="8">
        <v>1919.0</v>
      </c>
      <c r="D4" s="7"/>
      <c r="E4" s="7"/>
      <c r="F4" s="8">
        <v>1740.0</v>
      </c>
      <c r="G4" s="10">
        <f t="shared" si="1"/>
        <v>90.67</v>
      </c>
      <c r="H4" s="8">
        <f t="shared" si="2"/>
        <v>87.65</v>
      </c>
      <c r="I4" s="8">
        <v>4.0</v>
      </c>
      <c r="J4" s="7"/>
    </row>
    <row r="5">
      <c r="B5" s="8">
        <v>23.0</v>
      </c>
      <c r="C5" s="8">
        <v>1919.0</v>
      </c>
      <c r="D5" s="8"/>
      <c r="E5" s="7"/>
      <c r="F5" s="8">
        <v>1731.0</v>
      </c>
      <c r="G5" s="10">
        <f t="shared" si="1"/>
        <v>90.2</v>
      </c>
      <c r="H5" s="8">
        <f t="shared" si="2"/>
        <v>87.2</v>
      </c>
      <c r="I5" s="8">
        <v>4.0</v>
      </c>
      <c r="J5" s="7"/>
    </row>
    <row r="6">
      <c r="B6" s="8">
        <v>24.0</v>
      </c>
      <c r="C6" s="8">
        <v>1916.0</v>
      </c>
      <c r="D6" s="8">
        <v>3.0</v>
      </c>
      <c r="E6" s="7"/>
      <c r="F6" s="8">
        <v>1754.0</v>
      </c>
      <c r="G6" s="10">
        <f t="shared" si="1"/>
        <v>91.54</v>
      </c>
      <c r="H6" s="8">
        <f t="shared" si="2"/>
        <v>88.36</v>
      </c>
      <c r="I6" s="8">
        <v>4.0</v>
      </c>
      <c r="J6" s="7"/>
      <c r="O6" s="12" t="s">
        <v>13</v>
      </c>
    </row>
    <row r="7">
      <c r="B7" s="8">
        <v>25.0</v>
      </c>
      <c r="C7" s="8">
        <v>1916.0</v>
      </c>
      <c r="D7" s="8"/>
      <c r="E7" s="7"/>
      <c r="F7" s="9">
        <v>1710.0</v>
      </c>
      <c r="G7" s="10">
        <f t="shared" si="1"/>
        <v>89.24</v>
      </c>
      <c r="H7" s="8">
        <f t="shared" si="2"/>
        <v>86.14</v>
      </c>
      <c r="I7" s="8">
        <v>4.0</v>
      </c>
      <c r="J7" s="7"/>
    </row>
    <row r="8">
      <c r="B8" s="8">
        <v>26.0</v>
      </c>
      <c r="C8" s="8">
        <v>1915.0</v>
      </c>
      <c r="D8" s="8">
        <v>1.0</v>
      </c>
      <c r="E8" s="7"/>
      <c r="F8" s="9">
        <v>1710.0</v>
      </c>
      <c r="G8" s="10">
        <f t="shared" si="1"/>
        <v>89.29</v>
      </c>
      <c r="H8" s="8">
        <f t="shared" si="2"/>
        <v>86.14</v>
      </c>
      <c r="I8" s="8">
        <v>4.0</v>
      </c>
      <c r="J8" s="7"/>
    </row>
    <row r="9">
      <c r="A9" s="7"/>
      <c r="B9" s="8"/>
      <c r="C9" s="7"/>
      <c r="D9" s="7"/>
      <c r="E9" s="7"/>
      <c r="F9" s="7"/>
      <c r="G9" s="10"/>
      <c r="H9" s="8"/>
      <c r="I9" s="7"/>
      <c r="J9" s="7"/>
    </row>
    <row r="10">
      <c r="A10" s="5">
        <v>39.0</v>
      </c>
      <c r="B10" s="8">
        <v>27.0</v>
      </c>
      <c r="C10" s="8">
        <v>1915.0</v>
      </c>
      <c r="D10" s="8"/>
      <c r="E10" s="7"/>
      <c r="F10" s="9">
        <v>1740.0</v>
      </c>
      <c r="G10" s="10">
        <f t="shared" ref="G10:G16" si="3">TRUNC(F10/C10*100, 2)</f>
        <v>90.86</v>
      </c>
      <c r="H10" s="10">
        <f t="shared" ref="H10:H13" si="4">F10/1985*100</f>
        <v>87.65743073</v>
      </c>
      <c r="I10" s="8">
        <v>4.0</v>
      </c>
      <c r="J10" s="7"/>
    </row>
    <row r="11">
      <c r="B11" s="8">
        <v>28.0</v>
      </c>
      <c r="C11" s="8">
        <v>1913.0</v>
      </c>
      <c r="D11" s="8">
        <v>2.0</v>
      </c>
      <c r="E11" s="7"/>
      <c r="F11" s="9">
        <v>1705.0</v>
      </c>
      <c r="G11" s="10">
        <f t="shared" si="3"/>
        <v>89.12</v>
      </c>
      <c r="H11" s="10">
        <f t="shared" si="4"/>
        <v>85.89420655</v>
      </c>
      <c r="I11" s="8">
        <v>4.0</v>
      </c>
      <c r="J11" s="7"/>
    </row>
    <row r="12">
      <c r="B12" s="8">
        <v>29.0</v>
      </c>
      <c r="C12" s="8">
        <v>1911.0</v>
      </c>
      <c r="D12" s="8">
        <v>2.0</v>
      </c>
      <c r="E12" s="7"/>
      <c r="F12" s="9">
        <v>1740.0</v>
      </c>
      <c r="G12" s="10">
        <f t="shared" si="3"/>
        <v>91.05</v>
      </c>
      <c r="H12" s="10">
        <f t="shared" si="4"/>
        <v>87.65743073</v>
      </c>
      <c r="I12" s="8">
        <v>4.0</v>
      </c>
      <c r="J12" s="7"/>
    </row>
    <row r="13">
      <c r="B13" s="8">
        <v>30.0</v>
      </c>
      <c r="C13" s="8">
        <v>1911.0</v>
      </c>
      <c r="D13" s="7"/>
      <c r="E13" s="8"/>
      <c r="F13" s="9">
        <v>1740.0</v>
      </c>
      <c r="G13" s="10">
        <f t="shared" si="3"/>
        <v>91.05</v>
      </c>
      <c r="H13" s="10">
        <f t="shared" si="4"/>
        <v>87.65743073</v>
      </c>
      <c r="I13" s="8">
        <v>4.0</v>
      </c>
      <c r="J13" s="7"/>
    </row>
    <row r="14">
      <c r="B14" s="8">
        <v>31.0</v>
      </c>
      <c r="C14" s="8">
        <v>1910.0</v>
      </c>
      <c r="D14" s="8">
        <v>1.0</v>
      </c>
      <c r="E14" s="8"/>
      <c r="F14" s="9">
        <v>1740.0</v>
      </c>
      <c r="G14" s="10">
        <f t="shared" si="3"/>
        <v>91.09</v>
      </c>
      <c r="H14" s="8">
        <f t="shared" ref="H14:H16" si="5">TRUNC(F14/1985*100, 2)</f>
        <v>87.65</v>
      </c>
      <c r="I14" s="8">
        <v>4.0</v>
      </c>
      <c r="J14" s="7"/>
    </row>
    <row r="15">
      <c r="B15" s="11">
        <v>45809.0</v>
      </c>
      <c r="C15" s="8">
        <v>1910.0</v>
      </c>
      <c r="D15" s="8"/>
      <c r="E15" s="7"/>
      <c r="F15" s="9">
        <v>1736.0</v>
      </c>
      <c r="G15" s="10">
        <f t="shared" si="3"/>
        <v>90.89</v>
      </c>
      <c r="H15" s="8">
        <f t="shared" si="5"/>
        <v>87.45</v>
      </c>
      <c r="I15" s="8">
        <v>4.0</v>
      </c>
      <c r="J15" s="7"/>
    </row>
    <row r="16">
      <c r="B16" s="8">
        <v>2.0</v>
      </c>
      <c r="C16" s="8">
        <v>1910.0</v>
      </c>
      <c r="D16" s="7"/>
      <c r="E16" s="8"/>
      <c r="F16" s="9">
        <v>1714.0</v>
      </c>
      <c r="G16" s="10">
        <f t="shared" si="3"/>
        <v>89.73</v>
      </c>
      <c r="H16" s="8">
        <f t="shared" si="5"/>
        <v>86.34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40.0</v>
      </c>
      <c r="B18" s="8">
        <v>3.0</v>
      </c>
      <c r="C18" s="8">
        <v>1909.0</v>
      </c>
      <c r="D18" s="8">
        <v>1.0</v>
      </c>
      <c r="E18" s="8"/>
      <c r="F18" s="8">
        <v>1729.0</v>
      </c>
      <c r="G18" s="10">
        <f t="shared" ref="G18:G24" si="6">TRUNC(F18/C18*100, 2)</f>
        <v>90.57</v>
      </c>
      <c r="H18" s="8">
        <f>TRUNC(F18/1985*100, 2)</f>
        <v>87.1</v>
      </c>
      <c r="I18" s="8">
        <v>4.0</v>
      </c>
      <c r="J18" s="7"/>
    </row>
    <row r="19">
      <c r="B19" s="8">
        <v>4.0</v>
      </c>
      <c r="C19" s="8">
        <v>1909.0</v>
      </c>
      <c r="D19" s="8"/>
      <c r="E19" s="7"/>
      <c r="F19" s="8">
        <v>1718.0</v>
      </c>
      <c r="G19" s="10">
        <f t="shared" si="6"/>
        <v>89.99</v>
      </c>
      <c r="H19" s="10">
        <f t="shared" ref="H19:H23" si="7">F19/1985*100</f>
        <v>86.54911839</v>
      </c>
      <c r="I19" s="8">
        <v>4.5</v>
      </c>
      <c r="J19" s="7"/>
    </row>
    <row r="20">
      <c r="B20" s="8">
        <v>5.0</v>
      </c>
      <c r="C20" s="8">
        <v>1909.0</v>
      </c>
      <c r="D20" s="8"/>
      <c r="E20" s="7"/>
      <c r="F20" s="8">
        <v>1720.0</v>
      </c>
      <c r="G20" s="10">
        <f t="shared" si="6"/>
        <v>90.09</v>
      </c>
      <c r="H20" s="10">
        <f t="shared" si="7"/>
        <v>86.64987406</v>
      </c>
      <c r="I20" s="8">
        <v>4.5</v>
      </c>
      <c r="J20" s="7"/>
    </row>
    <row r="21">
      <c r="B21" s="8">
        <v>6.0</v>
      </c>
      <c r="C21" s="8">
        <v>1909.0</v>
      </c>
      <c r="D21" s="7"/>
      <c r="E21" s="8"/>
      <c r="F21" s="8">
        <v>1746.0</v>
      </c>
      <c r="G21" s="10">
        <f t="shared" si="6"/>
        <v>91.46</v>
      </c>
      <c r="H21" s="10">
        <f t="shared" si="7"/>
        <v>87.95969773</v>
      </c>
      <c r="I21" s="8">
        <v>4.5</v>
      </c>
      <c r="J21" s="7"/>
    </row>
    <row r="22">
      <c r="B22" s="8">
        <v>7.0</v>
      </c>
      <c r="C22" s="8">
        <v>1908.0</v>
      </c>
      <c r="D22" s="8">
        <v>1.0</v>
      </c>
      <c r="E22" s="7"/>
      <c r="F22" s="8">
        <v>1759.0</v>
      </c>
      <c r="G22" s="10">
        <f t="shared" si="6"/>
        <v>92.19</v>
      </c>
      <c r="H22" s="10">
        <f t="shared" si="7"/>
        <v>88.61460957</v>
      </c>
      <c r="I22" s="8">
        <v>4.0</v>
      </c>
      <c r="J22" s="7"/>
    </row>
    <row r="23">
      <c r="B23" s="8">
        <v>8.0</v>
      </c>
      <c r="C23" s="8">
        <v>1908.0</v>
      </c>
      <c r="D23" s="7"/>
      <c r="E23" s="7"/>
      <c r="F23" s="9">
        <v>1748.0</v>
      </c>
      <c r="G23" s="10">
        <f t="shared" si="6"/>
        <v>91.61</v>
      </c>
      <c r="H23" s="10">
        <f t="shared" si="7"/>
        <v>88.0604534</v>
      </c>
      <c r="I23" s="8">
        <v>4.0</v>
      </c>
      <c r="J23" s="7"/>
    </row>
    <row r="24">
      <c r="B24" s="8">
        <v>9.0</v>
      </c>
      <c r="C24" s="8">
        <v>1908.0</v>
      </c>
      <c r="D24" s="7"/>
      <c r="E24" s="8"/>
      <c r="F24" s="9">
        <v>1758.0</v>
      </c>
      <c r="G24" s="10">
        <f t="shared" si="6"/>
        <v>92.13</v>
      </c>
      <c r="H24" s="8">
        <f>TRUNC(F24/1985*100, 2)</f>
        <v>88.56</v>
      </c>
      <c r="I24" s="8">
        <v>4.5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41.0</v>
      </c>
      <c r="B26" s="8">
        <v>10.0</v>
      </c>
      <c r="C26" s="8">
        <v>1907.0</v>
      </c>
      <c r="D26" s="8">
        <v>1.0</v>
      </c>
      <c r="E26" s="7"/>
      <c r="F26" s="8">
        <v>1764.0</v>
      </c>
      <c r="G26" s="10">
        <f t="shared" ref="G26:G32" si="8">TRUNC(F26/C26*100, 2)</f>
        <v>92.5</v>
      </c>
      <c r="H26" s="8">
        <f t="shared" ref="H26:H32" si="9">TRUNC(F26/1985*100, 2)</f>
        <v>88.86</v>
      </c>
      <c r="I26" s="8">
        <v>4.0</v>
      </c>
      <c r="J26" s="7"/>
    </row>
    <row r="27">
      <c r="B27" s="8">
        <v>11.0</v>
      </c>
      <c r="C27" s="8">
        <v>1907.0</v>
      </c>
      <c r="D27" s="8"/>
      <c r="E27" s="7"/>
      <c r="F27" s="8">
        <v>1737.0</v>
      </c>
      <c r="G27" s="10">
        <f t="shared" si="8"/>
        <v>91.08</v>
      </c>
      <c r="H27" s="8">
        <f t="shared" si="9"/>
        <v>87.5</v>
      </c>
      <c r="I27" s="8">
        <v>4.0</v>
      </c>
      <c r="J27" s="7"/>
    </row>
    <row r="28">
      <c r="B28" s="8">
        <v>12.0</v>
      </c>
      <c r="C28" s="8">
        <v>1907.0</v>
      </c>
      <c r="D28" s="8"/>
      <c r="E28" s="7"/>
      <c r="F28" s="8">
        <v>1712.0</v>
      </c>
      <c r="G28" s="10">
        <f t="shared" si="8"/>
        <v>89.77</v>
      </c>
      <c r="H28" s="8">
        <f t="shared" si="9"/>
        <v>86.24</v>
      </c>
      <c r="I28" s="8">
        <v>4.0</v>
      </c>
      <c r="J28" s="7"/>
    </row>
    <row r="29">
      <c r="B29" s="8">
        <v>13.0</v>
      </c>
      <c r="C29" s="8">
        <v>1907.0</v>
      </c>
      <c r="D29" s="8"/>
      <c r="E29" s="7"/>
      <c r="F29" s="8">
        <v>1746.0</v>
      </c>
      <c r="G29" s="10">
        <f t="shared" si="8"/>
        <v>91.55</v>
      </c>
      <c r="H29" s="8">
        <f t="shared" si="9"/>
        <v>87.95</v>
      </c>
      <c r="I29" s="8">
        <v>4.0</v>
      </c>
      <c r="J29" s="7"/>
    </row>
    <row r="30">
      <c r="B30" s="8">
        <v>14.0</v>
      </c>
      <c r="C30" s="8">
        <v>1906.0</v>
      </c>
      <c r="D30" s="8">
        <v>1.0</v>
      </c>
      <c r="E30" s="8"/>
      <c r="F30" s="8">
        <v>1742.0</v>
      </c>
      <c r="G30" s="10">
        <f t="shared" si="8"/>
        <v>91.39</v>
      </c>
      <c r="H30" s="8">
        <f t="shared" si="9"/>
        <v>87.75</v>
      </c>
      <c r="I30" s="8">
        <v>4.0</v>
      </c>
      <c r="J30" s="7"/>
    </row>
    <row r="31">
      <c r="B31" s="8">
        <v>15.0</v>
      </c>
      <c r="C31" s="8">
        <v>1906.0</v>
      </c>
      <c r="D31" s="7"/>
      <c r="E31" s="8"/>
      <c r="F31" s="9">
        <v>1696.0</v>
      </c>
      <c r="G31" s="10">
        <f t="shared" si="8"/>
        <v>88.98</v>
      </c>
      <c r="H31" s="8">
        <f t="shared" si="9"/>
        <v>85.44</v>
      </c>
      <c r="I31" s="8">
        <v>4.0</v>
      </c>
      <c r="J31" s="7"/>
    </row>
    <row r="32">
      <c r="B32" s="8">
        <v>16.0</v>
      </c>
      <c r="C32" s="8">
        <v>1906.0</v>
      </c>
      <c r="D32" s="8"/>
      <c r="E32" s="7"/>
      <c r="F32" s="9">
        <v>1716.0</v>
      </c>
      <c r="G32" s="10">
        <f t="shared" si="8"/>
        <v>90.03</v>
      </c>
      <c r="H32" s="8">
        <f t="shared" si="9"/>
        <v>86.44</v>
      </c>
      <c r="I32" s="8">
        <v>4.0</v>
      </c>
      <c r="J32" s="7"/>
    </row>
    <row r="33">
      <c r="G33" s="14"/>
    </row>
    <row r="34">
      <c r="A34" s="5"/>
      <c r="B34" s="8"/>
      <c r="C34" s="8"/>
      <c r="D34" s="8"/>
      <c r="E34" s="7"/>
      <c r="F34" s="8"/>
      <c r="G34" s="10"/>
      <c r="H34" s="8"/>
      <c r="I34" s="8"/>
    </row>
    <row r="35">
      <c r="B35" s="8"/>
      <c r="C35" s="8"/>
      <c r="D35" s="8"/>
      <c r="E35" s="7"/>
      <c r="F35" s="8"/>
      <c r="G35" s="10"/>
      <c r="H35" s="8"/>
      <c r="I35" s="8"/>
    </row>
    <row r="36">
      <c r="B36" s="8"/>
      <c r="C36" s="8"/>
      <c r="D36" s="8"/>
      <c r="E36" s="7"/>
      <c r="F36" s="8"/>
      <c r="G36" s="10"/>
      <c r="H36" s="8"/>
      <c r="I36" s="8"/>
    </row>
    <row r="37">
      <c r="B37" s="8"/>
      <c r="C37" s="8"/>
      <c r="D37" s="8"/>
      <c r="E37" s="7"/>
      <c r="F37" s="8"/>
      <c r="G37" s="10"/>
      <c r="H37" s="8"/>
      <c r="I37" s="8"/>
    </row>
    <row r="38">
      <c r="B38" s="8"/>
      <c r="C38" s="8"/>
      <c r="D38" s="8"/>
      <c r="E38" s="8"/>
      <c r="F38" s="8"/>
      <c r="G38" s="10"/>
      <c r="H38" s="8"/>
      <c r="I38" s="8"/>
    </row>
    <row r="39">
      <c r="B39" s="8"/>
      <c r="C39" s="8"/>
      <c r="D39" s="8"/>
      <c r="E39" s="8"/>
      <c r="F39" s="9"/>
      <c r="G39" s="10"/>
      <c r="H39" s="8"/>
      <c r="I39" s="8"/>
    </row>
    <row r="40">
      <c r="B40" s="8"/>
      <c r="C40" s="8"/>
      <c r="D40" s="8"/>
      <c r="E40" s="7"/>
      <c r="F40" s="9"/>
      <c r="G40" s="10"/>
      <c r="H40" s="8"/>
      <c r="I40" s="8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42.0</v>
      </c>
      <c r="B2" s="8">
        <v>17.0</v>
      </c>
      <c r="C2" s="8">
        <v>1906.0</v>
      </c>
      <c r="D2" s="8"/>
      <c r="E2" s="7"/>
      <c r="F2" s="8">
        <v>1707.0</v>
      </c>
      <c r="G2" s="8">
        <v>85.55</v>
      </c>
      <c r="H2" s="8">
        <v>85.99</v>
      </c>
      <c r="I2" s="8">
        <v>4.0</v>
      </c>
      <c r="J2" s="7"/>
    </row>
    <row r="3">
      <c r="B3" s="8">
        <v>18.0</v>
      </c>
      <c r="C3" s="8">
        <v>1906.0</v>
      </c>
      <c r="D3" s="8"/>
      <c r="E3" s="7"/>
      <c r="F3" s="8">
        <v>1735.0</v>
      </c>
      <c r="G3" s="8">
        <v>91.02</v>
      </c>
      <c r="H3" s="8">
        <v>87.4</v>
      </c>
      <c r="I3" s="8">
        <v>4.0</v>
      </c>
      <c r="J3" s="7"/>
    </row>
    <row r="4">
      <c r="B4" s="8">
        <v>19.0</v>
      </c>
      <c r="C4" s="8">
        <v>1906.0</v>
      </c>
      <c r="D4" s="8"/>
      <c r="E4" s="7"/>
      <c r="F4" s="8">
        <v>1722.0</v>
      </c>
      <c r="G4" s="8">
        <v>90.34</v>
      </c>
      <c r="H4" s="8">
        <v>86.75</v>
      </c>
      <c r="I4" s="8">
        <v>5.0</v>
      </c>
      <c r="J4" s="7"/>
    </row>
    <row r="5">
      <c r="B5" s="8">
        <v>20.0</v>
      </c>
      <c r="C5" s="8">
        <v>1906.0</v>
      </c>
      <c r="D5" s="8"/>
      <c r="E5" s="7"/>
      <c r="F5" s="8">
        <v>1731.0</v>
      </c>
      <c r="G5" s="8">
        <v>90.81</v>
      </c>
      <c r="H5" s="8">
        <v>87.2</v>
      </c>
      <c r="I5" s="8">
        <v>4.0</v>
      </c>
      <c r="J5" s="7"/>
    </row>
    <row r="6">
      <c r="B6" s="8">
        <v>21.0</v>
      </c>
      <c r="C6" s="8">
        <v>1904.0</v>
      </c>
      <c r="D6" s="12">
        <v>2.0</v>
      </c>
      <c r="E6" s="7"/>
      <c r="F6" s="8">
        <v>1675.0</v>
      </c>
      <c r="G6" s="8">
        <v>87.97</v>
      </c>
      <c r="H6" s="8">
        <v>84.89</v>
      </c>
      <c r="I6" s="8">
        <v>4.0</v>
      </c>
      <c r="J6" s="7"/>
    </row>
    <row r="7">
      <c r="B7" s="8">
        <v>22.0</v>
      </c>
      <c r="C7" s="8">
        <v>1904.0</v>
      </c>
      <c r="D7" s="8"/>
      <c r="E7" s="7"/>
      <c r="F7" s="9">
        <v>1670.0</v>
      </c>
      <c r="G7" s="8">
        <v>87.71</v>
      </c>
      <c r="H7" s="8">
        <v>84.13</v>
      </c>
      <c r="I7" s="8">
        <v>4.0</v>
      </c>
      <c r="J7" s="7"/>
    </row>
    <row r="8">
      <c r="B8" s="8">
        <v>23.0</v>
      </c>
      <c r="C8" s="8">
        <v>1904.0</v>
      </c>
      <c r="D8" s="7"/>
      <c r="E8" s="7"/>
      <c r="F8" s="9">
        <v>1710.0</v>
      </c>
      <c r="G8" s="8">
        <v>89.81</v>
      </c>
      <c r="H8" s="8">
        <v>86.14</v>
      </c>
      <c r="I8" s="8">
        <v>4.5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43.0</v>
      </c>
      <c r="B10" s="8">
        <v>24.0</v>
      </c>
      <c r="C10" s="8">
        <v>1904.0</v>
      </c>
      <c r="D10" s="7"/>
      <c r="E10" s="7"/>
      <c r="F10" s="9">
        <v>1695.0</v>
      </c>
      <c r="G10" s="8">
        <v>89.02</v>
      </c>
      <c r="H10" s="8">
        <v>85.39</v>
      </c>
      <c r="I10" s="8">
        <v>4.0</v>
      </c>
      <c r="J10" s="7"/>
    </row>
    <row r="11">
      <c r="B11" s="8">
        <v>25.0</v>
      </c>
      <c r="C11" s="8">
        <v>1903.0</v>
      </c>
      <c r="D11" s="8">
        <v>1.0</v>
      </c>
      <c r="E11" s="7"/>
      <c r="F11" s="9">
        <v>1690.0</v>
      </c>
      <c r="G11" s="8">
        <v>88.3</v>
      </c>
      <c r="H11" s="8">
        <v>85.13</v>
      </c>
      <c r="I11" s="8">
        <v>4.0</v>
      </c>
      <c r="J11" s="7"/>
    </row>
    <row r="12">
      <c r="B12" s="8">
        <v>26.0</v>
      </c>
      <c r="C12" s="8">
        <v>1902.0</v>
      </c>
      <c r="D12" s="8">
        <v>1.0</v>
      </c>
      <c r="E12" s="7"/>
      <c r="F12" s="9">
        <v>1698.0</v>
      </c>
      <c r="G12" s="8">
        <v>89.27</v>
      </c>
      <c r="H12" s="8">
        <v>85.54</v>
      </c>
      <c r="I12" s="8">
        <v>4.0</v>
      </c>
      <c r="J12" s="7"/>
    </row>
    <row r="13">
      <c r="B13" s="8">
        <v>27.0</v>
      </c>
      <c r="C13" s="8">
        <v>1902.0</v>
      </c>
      <c r="D13" s="8"/>
      <c r="E13" s="7"/>
      <c r="F13" s="9">
        <v>1746.0</v>
      </c>
      <c r="G13" s="8">
        <v>91.79</v>
      </c>
      <c r="H13" s="8">
        <v>87.95</v>
      </c>
      <c r="I13" s="8">
        <v>4.5</v>
      </c>
      <c r="J13" s="7"/>
    </row>
    <row r="14">
      <c r="B14" s="8">
        <v>28.0</v>
      </c>
      <c r="C14" s="8">
        <v>1901.0</v>
      </c>
      <c r="D14" s="8">
        <v>1.0</v>
      </c>
      <c r="E14" s="7"/>
      <c r="F14" s="9">
        <v>1661.0</v>
      </c>
      <c r="G14" s="8">
        <v>87.37</v>
      </c>
      <c r="H14" s="8">
        <v>83.67</v>
      </c>
      <c r="I14" s="8">
        <v>4.0</v>
      </c>
      <c r="J14" s="7"/>
    </row>
    <row r="15">
      <c r="B15" s="8">
        <v>29.0</v>
      </c>
      <c r="C15" s="8">
        <v>1897.0</v>
      </c>
      <c r="D15" s="8">
        <v>4.0</v>
      </c>
      <c r="E15" s="7"/>
      <c r="F15" s="9">
        <v>1682.0</v>
      </c>
      <c r="G15" s="8">
        <v>88.52</v>
      </c>
      <c r="H15" s="8">
        <v>84.73</v>
      </c>
      <c r="I15" s="8">
        <v>4.0</v>
      </c>
      <c r="J15" s="7"/>
    </row>
    <row r="16">
      <c r="B16" s="8">
        <v>30.0</v>
      </c>
      <c r="C16" s="8">
        <v>1892.0</v>
      </c>
      <c r="D16" s="8">
        <v>5.0</v>
      </c>
      <c r="E16" s="7"/>
      <c r="F16" s="9">
        <v>1694.0</v>
      </c>
      <c r="G16" s="8">
        <v>89.2</v>
      </c>
      <c r="H16" s="8">
        <v>85.34</v>
      </c>
      <c r="I16" s="8">
        <v>4.5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44.0</v>
      </c>
      <c r="B18" s="15">
        <v>46204.0</v>
      </c>
      <c r="C18" s="8">
        <v>1891.0</v>
      </c>
      <c r="D18" s="8">
        <v>1.0</v>
      </c>
      <c r="E18" s="7"/>
      <c r="F18" s="8">
        <v>1649.0</v>
      </c>
      <c r="G18" s="8">
        <v>87.2</v>
      </c>
      <c r="H18" s="8">
        <v>83.07</v>
      </c>
      <c r="I18" s="8">
        <v>4.0</v>
      </c>
      <c r="J18" s="7"/>
    </row>
    <row r="19">
      <c r="B19" s="8">
        <v>2.0</v>
      </c>
      <c r="C19" s="8">
        <v>1891.0</v>
      </c>
      <c r="D19" s="7"/>
      <c r="E19" s="7"/>
      <c r="F19" s="8">
        <v>1604.0</v>
      </c>
      <c r="G19" s="8">
        <v>84.82</v>
      </c>
      <c r="H19" s="8">
        <v>80.8</v>
      </c>
      <c r="I19" s="8">
        <v>4.0</v>
      </c>
      <c r="J19" s="7"/>
    </row>
    <row r="20">
      <c r="B20" s="8">
        <v>3.0</v>
      </c>
      <c r="C20" s="8">
        <v>1890.0</v>
      </c>
      <c r="D20" s="7"/>
      <c r="E20" s="7"/>
      <c r="F20" s="8">
        <v>1679.0</v>
      </c>
      <c r="G20" s="8">
        <v>88.83</v>
      </c>
      <c r="H20" s="8">
        <v>84.58</v>
      </c>
      <c r="I20" s="8">
        <v>4.0</v>
      </c>
      <c r="J20" s="7"/>
    </row>
    <row r="21">
      <c r="B21" s="8">
        <v>4.0</v>
      </c>
      <c r="C21" s="8">
        <v>1889.0</v>
      </c>
      <c r="D21" s="8">
        <v>1.0</v>
      </c>
      <c r="E21" s="7"/>
      <c r="F21" s="8">
        <v>1650.0</v>
      </c>
      <c r="G21" s="8">
        <v>87.34</v>
      </c>
      <c r="H21" s="8">
        <v>83.12</v>
      </c>
      <c r="I21" s="8">
        <v>4.0</v>
      </c>
      <c r="J21" s="7"/>
    </row>
    <row r="22">
      <c r="B22" s="8">
        <v>5.0</v>
      </c>
      <c r="C22" s="8">
        <v>1886.0</v>
      </c>
      <c r="D22" s="8">
        <v>3.0</v>
      </c>
      <c r="E22" s="7"/>
      <c r="F22" s="8">
        <v>1653.0</v>
      </c>
      <c r="G22" s="8">
        <v>87.64</v>
      </c>
      <c r="H22" s="8">
        <v>83.27</v>
      </c>
      <c r="I22" s="8">
        <v>4.0</v>
      </c>
      <c r="J22" s="7"/>
    </row>
    <row r="23">
      <c r="B23" s="8">
        <v>6.0</v>
      </c>
      <c r="C23" s="8">
        <v>1884.0</v>
      </c>
      <c r="D23" s="8">
        <v>2.0</v>
      </c>
      <c r="E23" s="7"/>
      <c r="F23" s="9">
        <v>1628.0</v>
      </c>
      <c r="G23" s="8">
        <v>86.41</v>
      </c>
      <c r="H23" s="8">
        <v>82.01</v>
      </c>
      <c r="I23" s="8">
        <v>3.0</v>
      </c>
      <c r="J23" s="7"/>
    </row>
    <row r="24">
      <c r="B24" s="8">
        <v>7.0</v>
      </c>
      <c r="C24" s="8">
        <v>1884.0</v>
      </c>
      <c r="D24" s="7"/>
      <c r="E24" s="7"/>
      <c r="F24" s="9">
        <v>1645.0</v>
      </c>
      <c r="G24" s="8">
        <v>87.31</v>
      </c>
      <c r="H24" s="8">
        <v>82.37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45.0</v>
      </c>
      <c r="B26" s="8">
        <v>8.0</v>
      </c>
      <c r="C26" s="8">
        <v>1883.0</v>
      </c>
      <c r="D26" s="8">
        <v>1.0</v>
      </c>
      <c r="E26" s="7"/>
      <c r="F26" s="8">
        <v>1620.0</v>
      </c>
      <c r="G26" s="8">
        <v>86.03</v>
      </c>
      <c r="H26" s="8">
        <v>79.8</v>
      </c>
      <c r="I26" s="8">
        <v>3.0</v>
      </c>
      <c r="J26" s="7"/>
    </row>
    <row r="27">
      <c r="B27" s="8">
        <v>9.0</v>
      </c>
      <c r="C27" s="8">
        <v>1882.0</v>
      </c>
      <c r="D27" s="8">
        <v>1.0</v>
      </c>
      <c r="E27" s="7"/>
      <c r="F27" s="8">
        <v>1628.0</v>
      </c>
      <c r="G27" s="8">
        <v>86.5</v>
      </c>
      <c r="H27" s="8">
        <v>79.09</v>
      </c>
      <c r="I27" s="8">
        <v>4.0</v>
      </c>
      <c r="J27" s="7"/>
    </row>
    <row r="28">
      <c r="B28" s="8">
        <v>10.0</v>
      </c>
      <c r="C28" s="8">
        <v>1882.0</v>
      </c>
      <c r="D28" s="7"/>
      <c r="E28" s="7"/>
      <c r="F28" s="8">
        <v>1649.0</v>
      </c>
      <c r="G28" s="8">
        <v>87.61</v>
      </c>
      <c r="H28" s="8">
        <v>79.45</v>
      </c>
      <c r="I28" s="8">
        <v>4.0</v>
      </c>
      <c r="J28" s="7"/>
    </row>
    <row r="29">
      <c r="B29" s="8">
        <v>11.0</v>
      </c>
      <c r="C29" s="8">
        <v>1879.0</v>
      </c>
      <c r="D29" s="8">
        <v>3.0</v>
      </c>
      <c r="E29" s="7"/>
      <c r="F29" s="8">
        <v>1617.0</v>
      </c>
      <c r="G29" s="8">
        <v>86.05</v>
      </c>
      <c r="H29" s="8">
        <v>79.85</v>
      </c>
      <c r="I29" s="8">
        <v>3.0</v>
      </c>
      <c r="J29" s="7"/>
    </row>
    <row r="30">
      <c r="B30" s="8">
        <v>12.0</v>
      </c>
      <c r="C30" s="8">
        <v>1879.0</v>
      </c>
      <c r="D30" s="7"/>
      <c r="E30" s="8"/>
      <c r="F30" s="8">
        <v>1659.0</v>
      </c>
      <c r="G30" s="8">
        <v>88.29</v>
      </c>
      <c r="H30" s="8">
        <v>79.8</v>
      </c>
      <c r="I30" s="8">
        <v>4.0</v>
      </c>
      <c r="J30" s="7"/>
    </row>
    <row r="31">
      <c r="B31" s="8">
        <v>13.0</v>
      </c>
      <c r="C31" s="8">
        <v>1879.0</v>
      </c>
      <c r="D31" s="8"/>
      <c r="E31" s="8"/>
      <c r="F31" s="9">
        <v>1684.0</v>
      </c>
      <c r="G31" s="8">
        <v>89.62</v>
      </c>
      <c r="H31" s="8">
        <v>79.19</v>
      </c>
      <c r="I31" s="8">
        <v>4.0</v>
      </c>
      <c r="J31" s="7"/>
    </row>
    <row r="32">
      <c r="B32" s="8">
        <v>14.0</v>
      </c>
      <c r="C32" s="8">
        <v>1878.0</v>
      </c>
      <c r="D32" s="8">
        <v>1.0</v>
      </c>
      <c r="E32" s="8"/>
      <c r="F32" s="9">
        <v>1667.0</v>
      </c>
      <c r="G32" s="8">
        <v>88.76</v>
      </c>
      <c r="H32" s="8">
        <v>79.24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46.0</v>
      </c>
      <c r="B2" s="8">
        <v>15.0</v>
      </c>
      <c r="C2" s="8">
        <v>1877.0</v>
      </c>
      <c r="D2" s="8">
        <v>1.0</v>
      </c>
      <c r="E2" s="7"/>
      <c r="F2" s="8">
        <v>1650.0</v>
      </c>
      <c r="G2" s="8">
        <v>88.33</v>
      </c>
      <c r="H2" s="8">
        <v>82.51</v>
      </c>
      <c r="I2" s="8">
        <v>4.0</v>
      </c>
      <c r="J2" s="7"/>
    </row>
    <row r="3">
      <c r="B3" s="8">
        <v>16.0</v>
      </c>
      <c r="C3" s="8">
        <v>1877.0</v>
      </c>
      <c r="D3" s="8"/>
      <c r="E3" s="7"/>
      <c r="F3" s="8">
        <v>1662.0</v>
      </c>
      <c r="G3" s="8">
        <v>88.54</v>
      </c>
      <c r="H3" s="8">
        <v>83.72</v>
      </c>
      <c r="I3" s="8">
        <v>4.0</v>
      </c>
      <c r="J3" s="7"/>
    </row>
    <row r="4">
      <c r="B4" s="8">
        <v>17.0</v>
      </c>
      <c r="C4" s="8">
        <v>1875.0</v>
      </c>
      <c r="D4" s="8">
        <v>2.0</v>
      </c>
      <c r="E4" s="7"/>
      <c r="F4" s="8">
        <v>1638.0</v>
      </c>
      <c r="G4" s="8">
        <v>87.36</v>
      </c>
      <c r="H4" s="8">
        <v>82.51</v>
      </c>
      <c r="I4" s="8">
        <v>4.0</v>
      </c>
      <c r="J4" s="7"/>
    </row>
    <row r="5">
      <c r="B5" s="8">
        <v>18.0</v>
      </c>
      <c r="C5" s="8">
        <v>1874.0</v>
      </c>
      <c r="D5" s="8">
        <v>1.0</v>
      </c>
      <c r="E5" s="7"/>
      <c r="F5" s="8">
        <v>1651.0</v>
      </c>
      <c r="G5" s="8">
        <v>88.1</v>
      </c>
      <c r="H5" s="8">
        <v>83.17</v>
      </c>
      <c r="I5" s="8">
        <v>3.0</v>
      </c>
      <c r="J5" s="7"/>
    </row>
    <row r="6">
      <c r="B6" s="8">
        <v>19.0</v>
      </c>
      <c r="C6" s="8">
        <v>1874.0</v>
      </c>
      <c r="E6" s="7"/>
      <c r="F6" s="8">
        <v>1620.0</v>
      </c>
      <c r="G6" s="8">
        <v>86.44</v>
      </c>
      <c r="H6" s="8">
        <v>81.61</v>
      </c>
      <c r="I6" s="8">
        <v>4.0</v>
      </c>
      <c r="J6" s="7"/>
    </row>
    <row r="7">
      <c r="B7" s="8">
        <v>20.0</v>
      </c>
      <c r="C7" s="8">
        <v>1872.0</v>
      </c>
      <c r="D7" s="8">
        <v>2.0</v>
      </c>
      <c r="E7" s="7"/>
      <c r="F7" s="9">
        <v>1585.0</v>
      </c>
      <c r="G7" s="8">
        <v>84.66</v>
      </c>
      <c r="H7" s="8">
        <v>79.34</v>
      </c>
      <c r="I7" s="8">
        <v>4.0</v>
      </c>
      <c r="J7" s="7"/>
    </row>
    <row r="8">
      <c r="B8" s="8">
        <v>21.0</v>
      </c>
      <c r="C8" s="8">
        <v>1871.0</v>
      </c>
      <c r="D8" s="8">
        <v>1.0</v>
      </c>
      <c r="E8" s="7"/>
      <c r="F8" s="9">
        <v>1595.0</v>
      </c>
      <c r="G8" s="8">
        <v>85.24</v>
      </c>
      <c r="H8" s="8">
        <v>30.35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47.0</v>
      </c>
      <c r="B10" s="8">
        <v>22.0</v>
      </c>
      <c r="C10" s="8">
        <v>1871.0</v>
      </c>
      <c r="D10" s="7"/>
      <c r="E10" s="7"/>
      <c r="F10" s="9">
        <v>1574.0</v>
      </c>
      <c r="G10" s="8">
        <v>84.12</v>
      </c>
      <c r="H10" s="8">
        <v>79.29</v>
      </c>
      <c r="I10" s="8">
        <v>3.0</v>
      </c>
      <c r="J10" s="7"/>
    </row>
    <row r="11">
      <c r="B11" s="8">
        <v>23.0</v>
      </c>
      <c r="C11" s="8">
        <v>1871.0</v>
      </c>
      <c r="D11" s="8"/>
      <c r="E11" s="7"/>
      <c r="F11" s="9">
        <v>1578.0</v>
      </c>
      <c r="G11" s="8">
        <v>84.33</v>
      </c>
      <c r="H11" s="8">
        <v>79.49</v>
      </c>
      <c r="I11" s="8">
        <v>4.0</v>
      </c>
      <c r="J11" s="7"/>
    </row>
    <row r="12">
      <c r="B12" s="8">
        <v>24.0</v>
      </c>
      <c r="C12" s="8">
        <v>1871.0</v>
      </c>
      <c r="D12" s="8"/>
      <c r="E12" s="7"/>
      <c r="F12" s="9">
        <v>1614.0</v>
      </c>
      <c r="G12" s="8">
        <v>86.26</v>
      </c>
      <c r="H12" s="8">
        <v>81.3</v>
      </c>
      <c r="I12" s="8">
        <v>4.0</v>
      </c>
      <c r="J12" s="7"/>
    </row>
    <row r="13">
      <c r="B13" s="8">
        <v>25.0</v>
      </c>
      <c r="C13" s="8">
        <v>1871.0</v>
      </c>
      <c r="D13" s="8"/>
      <c r="E13" s="7"/>
      <c r="F13" s="9">
        <v>1609.0</v>
      </c>
      <c r="G13" s="8">
        <v>85.99</v>
      </c>
      <c r="H13" s="8">
        <v>81.05</v>
      </c>
      <c r="I13" s="8">
        <v>4.0</v>
      </c>
      <c r="J13" s="7"/>
    </row>
    <row r="14">
      <c r="B14" s="8">
        <v>26.0</v>
      </c>
      <c r="C14" s="8">
        <v>1871.0</v>
      </c>
      <c r="D14" s="8"/>
      <c r="E14" s="7"/>
      <c r="F14" s="9">
        <v>1622.0</v>
      </c>
      <c r="G14" s="8">
        <v>86.69</v>
      </c>
      <c r="H14" s="8">
        <v>81.71</v>
      </c>
      <c r="I14" s="8">
        <v>4.0</v>
      </c>
      <c r="J14" s="7"/>
    </row>
    <row r="15">
      <c r="B15" s="8">
        <v>27.0</v>
      </c>
      <c r="C15" s="8">
        <v>1871.0</v>
      </c>
      <c r="D15" s="8"/>
      <c r="E15" s="7"/>
      <c r="F15" s="9">
        <v>1605.0</v>
      </c>
      <c r="G15" s="8">
        <v>85.73</v>
      </c>
      <c r="H15" s="8">
        <v>80.55</v>
      </c>
      <c r="I15" s="8">
        <v>4.0</v>
      </c>
      <c r="J15" s="7"/>
    </row>
    <row r="16">
      <c r="B16" s="8">
        <v>28.0</v>
      </c>
      <c r="C16" s="8">
        <v>1870.0</v>
      </c>
      <c r="D16" s="8">
        <v>1.0</v>
      </c>
      <c r="E16" s="7"/>
      <c r="F16" s="9">
        <v>1616.0</v>
      </c>
      <c r="G16" s="8">
        <v>86.41</v>
      </c>
      <c r="H16" s="8">
        <v>81.41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48.0</v>
      </c>
      <c r="B18" s="8">
        <v>29.0</v>
      </c>
      <c r="C18" s="8">
        <v>1868.0</v>
      </c>
      <c r="D18" s="8">
        <v>2.0</v>
      </c>
      <c r="E18" s="7"/>
      <c r="F18" s="8">
        <v>1608.0</v>
      </c>
      <c r="G18" s="8">
        <v>86.08</v>
      </c>
      <c r="H18" s="8">
        <v>81.09</v>
      </c>
      <c r="I18" s="8">
        <v>4.0</v>
      </c>
      <c r="J18" s="7"/>
    </row>
    <row r="19">
      <c r="B19" s="8">
        <v>30.0</v>
      </c>
      <c r="C19" s="8">
        <v>1866.0</v>
      </c>
      <c r="D19" s="8">
        <v>2.0</v>
      </c>
      <c r="E19" s="7"/>
      <c r="F19" s="8">
        <v>1635.0</v>
      </c>
      <c r="G19" s="8">
        <v>87.62</v>
      </c>
      <c r="H19" s="8">
        <v>82.06</v>
      </c>
      <c r="I19" s="8">
        <v>4.0</v>
      </c>
      <c r="J19" s="7"/>
    </row>
    <row r="20">
      <c r="B20" s="8">
        <v>31.0</v>
      </c>
      <c r="C20" s="8">
        <v>1865.0</v>
      </c>
      <c r="D20" s="8">
        <v>1.0</v>
      </c>
      <c r="E20" s="7"/>
      <c r="F20" s="8">
        <v>1600.0</v>
      </c>
      <c r="G20" s="8">
        <v>85.79</v>
      </c>
      <c r="H20" s="8">
        <v>80.6</v>
      </c>
      <c r="I20" s="8">
        <v>3.0</v>
      </c>
      <c r="J20" s="7"/>
    </row>
    <row r="21">
      <c r="B21" s="15">
        <v>46235.0</v>
      </c>
      <c r="C21" s="8">
        <v>1865.0</v>
      </c>
      <c r="D21" s="8"/>
      <c r="E21" s="7"/>
      <c r="F21" s="8">
        <v>1588.0</v>
      </c>
      <c r="G21" s="8">
        <v>85.14</v>
      </c>
      <c r="H21" s="8">
        <v>80.0</v>
      </c>
      <c r="I21" s="8">
        <v>4.0</v>
      </c>
      <c r="J21" s="7"/>
    </row>
    <row r="22">
      <c r="B22" s="8">
        <v>2.0</v>
      </c>
      <c r="C22" s="8">
        <v>1865.0</v>
      </c>
      <c r="D22" s="8"/>
      <c r="E22" s="7"/>
      <c r="F22" s="8">
        <v>1642.0</v>
      </c>
      <c r="G22" s="8">
        <v>88.04</v>
      </c>
      <c r="H22" s="8">
        <v>82.72</v>
      </c>
      <c r="I22" s="8">
        <v>4.0</v>
      </c>
      <c r="J22" s="7"/>
    </row>
    <row r="23">
      <c r="B23" s="8">
        <v>3.0</v>
      </c>
      <c r="C23" s="8">
        <v>1863.0</v>
      </c>
      <c r="D23" s="8">
        <v>2.0</v>
      </c>
      <c r="E23" s="7"/>
      <c r="F23" s="9">
        <v>1606.0</v>
      </c>
      <c r="G23" s="8">
        <v>86.2</v>
      </c>
      <c r="H23" s="8">
        <v>80.9</v>
      </c>
      <c r="I23" s="8">
        <v>3.0</v>
      </c>
      <c r="J23" s="7"/>
      <c r="N23" s="12" t="s">
        <v>14</v>
      </c>
    </row>
    <row r="24">
      <c r="B24" s="8">
        <v>4.0</v>
      </c>
      <c r="C24" s="8">
        <v>1863.0</v>
      </c>
      <c r="D24" s="7"/>
      <c r="E24" s="7"/>
      <c r="F24" s="9">
        <v>1596.0</v>
      </c>
      <c r="G24" s="8">
        <v>85.66</v>
      </c>
      <c r="H24" s="8">
        <v>80.4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49.0</v>
      </c>
      <c r="B26" s="8">
        <v>5.0</v>
      </c>
      <c r="C26" s="8">
        <v>1863.0</v>
      </c>
      <c r="D26" s="8"/>
      <c r="E26" s="7"/>
      <c r="F26" s="8">
        <v>1634.0</v>
      </c>
      <c r="G26" s="8">
        <v>87.7</v>
      </c>
      <c r="H26" s="8">
        <v>82.34</v>
      </c>
      <c r="I26" s="8">
        <v>4.0</v>
      </c>
      <c r="J26" s="7"/>
    </row>
    <row r="27">
      <c r="B27" s="8">
        <v>6.0</v>
      </c>
      <c r="C27" s="8">
        <v>1862.0</v>
      </c>
      <c r="D27" s="8">
        <v>1.0</v>
      </c>
      <c r="E27" s="7"/>
      <c r="F27" s="8">
        <v>1588.0</v>
      </c>
      <c r="G27" s="8">
        <v>85.28</v>
      </c>
      <c r="H27" s="8">
        <v>80.0</v>
      </c>
      <c r="I27" s="8">
        <v>4.0</v>
      </c>
      <c r="J27" s="7"/>
    </row>
    <row r="28">
      <c r="B28" s="8">
        <v>7.0</v>
      </c>
      <c r="C28" s="8">
        <v>1862.0</v>
      </c>
      <c r="D28" s="7"/>
      <c r="E28" s="7"/>
      <c r="F28" s="8">
        <v>1610.0</v>
      </c>
      <c r="G28" s="8">
        <v>86.46</v>
      </c>
      <c r="H28" s="8">
        <v>81.1</v>
      </c>
      <c r="I28" s="8">
        <v>3.0</v>
      </c>
      <c r="J28" s="7"/>
    </row>
    <row r="29">
      <c r="B29" s="8">
        <v>8.0</v>
      </c>
      <c r="C29" s="8">
        <v>1860.0</v>
      </c>
      <c r="D29" s="8">
        <v>2.0</v>
      </c>
      <c r="E29" s="7"/>
      <c r="F29" s="8">
        <v>1586.0</v>
      </c>
      <c r="G29" s="8">
        <v>85.26</v>
      </c>
      <c r="H29" s="8">
        <v>79.89</v>
      </c>
      <c r="I29" s="8">
        <v>4.0</v>
      </c>
      <c r="J29" s="7"/>
    </row>
    <row r="30">
      <c r="B30" s="8">
        <v>9.0</v>
      </c>
      <c r="C30" s="8">
        <v>1859.0</v>
      </c>
      <c r="D30" s="8">
        <v>1.0</v>
      </c>
      <c r="E30" s="8"/>
      <c r="F30" s="8">
        <v>1558.0</v>
      </c>
      <c r="G30" s="8">
        <v>83.8</v>
      </c>
      <c r="H30" s="8">
        <v>78.48</v>
      </c>
      <c r="I30" s="8">
        <v>3.0</v>
      </c>
      <c r="J30" s="7"/>
    </row>
    <row r="31">
      <c r="B31" s="8">
        <v>10.0</v>
      </c>
      <c r="C31" s="8">
        <v>1857.0</v>
      </c>
      <c r="D31" s="8">
        <v>2.0</v>
      </c>
      <c r="E31" s="8"/>
      <c r="F31" s="9">
        <v>1602.0</v>
      </c>
      <c r="G31" s="8">
        <v>86.26</v>
      </c>
      <c r="H31" s="8">
        <v>80.7</v>
      </c>
      <c r="I31" s="8">
        <v>3.0</v>
      </c>
      <c r="J31" s="7"/>
    </row>
    <row r="32">
      <c r="B32" s="8">
        <v>11.0</v>
      </c>
      <c r="C32" s="8">
        <v>1856.0</v>
      </c>
      <c r="D32" s="8">
        <v>2.0</v>
      </c>
      <c r="E32" s="8"/>
      <c r="F32" s="9">
        <v>1600.0</v>
      </c>
      <c r="G32" s="8">
        <v>86.2</v>
      </c>
      <c r="H32" s="8">
        <v>80.6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50.0</v>
      </c>
      <c r="B2" s="8">
        <v>12.0</v>
      </c>
      <c r="C2" s="8">
        <v>1855.0</v>
      </c>
      <c r="D2" s="8">
        <v>1.0</v>
      </c>
      <c r="E2" s="7"/>
      <c r="F2" s="8">
        <v>1615.0</v>
      </c>
      <c r="G2" s="10">
        <f t="shared" ref="G2:G8" si="1">TRUNC(F2/C2*100,2)</f>
        <v>87.06</v>
      </c>
      <c r="H2" s="10">
        <f t="shared" ref="H2:H8" si="2">F2/1985*100</f>
        <v>81.36020151</v>
      </c>
      <c r="I2" s="8">
        <v>4.0</v>
      </c>
      <c r="J2" s="7"/>
    </row>
    <row r="3">
      <c r="B3" s="8">
        <v>13.0</v>
      </c>
      <c r="C3" s="8">
        <v>1855.0</v>
      </c>
      <c r="D3" s="8"/>
      <c r="E3" s="7"/>
      <c r="F3" s="8">
        <v>1608.0</v>
      </c>
      <c r="G3" s="10">
        <f t="shared" si="1"/>
        <v>86.68</v>
      </c>
      <c r="H3" s="10">
        <f t="shared" si="2"/>
        <v>81.00755668</v>
      </c>
      <c r="I3" s="8">
        <v>3.0</v>
      </c>
      <c r="J3" s="7"/>
    </row>
    <row r="4">
      <c r="B4" s="8">
        <v>14.0</v>
      </c>
      <c r="C4" s="8">
        <v>1855.0</v>
      </c>
      <c r="D4" s="8"/>
      <c r="E4" s="7"/>
      <c r="F4" s="8">
        <v>1605.0</v>
      </c>
      <c r="G4" s="10">
        <f t="shared" si="1"/>
        <v>86.52</v>
      </c>
      <c r="H4" s="10">
        <f t="shared" si="2"/>
        <v>80.85642317</v>
      </c>
      <c r="I4" s="8">
        <v>4.0</v>
      </c>
      <c r="J4" s="7"/>
    </row>
    <row r="5">
      <c r="B5" s="8">
        <v>15.0</v>
      </c>
      <c r="C5" s="8">
        <v>1854.0</v>
      </c>
      <c r="D5" s="8">
        <v>1.0</v>
      </c>
      <c r="E5" s="7"/>
      <c r="F5" s="8">
        <v>1612.0</v>
      </c>
      <c r="G5" s="10">
        <f t="shared" si="1"/>
        <v>86.94</v>
      </c>
      <c r="H5" s="10">
        <f t="shared" si="2"/>
        <v>81.20906801</v>
      </c>
      <c r="I5" s="8">
        <v>4.0</v>
      </c>
      <c r="J5" s="7"/>
    </row>
    <row r="6">
      <c r="B6" s="8">
        <v>16.0</v>
      </c>
      <c r="C6" s="8">
        <v>1852.0</v>
      </c>
      <c r="D6" s="8">
        <v>2.0</v>
      </c>
      <c r="E6" s="7"/>
      <c r="F6" s="8">
        <v>1621.0</v>
      </c>
      <c r="G6" s="10">
        <f t="shared" si="1"/>
        <v>87.52</v>
      </c>
      <c r="H6" s="10">
        <f t="shared" si="2"/>
        <v>81.66246851</v>
      </c>
      <c r="I6" s="8">
        <v>3.0</v>
      </c>
      <c r="J6" s="7"/>
    </row>
    <row r="7">
      <c r="B7" s="8">
        <v>17.0</v>
      </c>
      <c r="C7" s="8">
        <v>1852.0</v>
      </c>
      <c r="D7" s="8"/>
      <c r="E7" s="7"/>
      <c r="F7" s="9">
        <v>1619.0</v>
      </c>
      <c r="G7" s="10">
        <f t="shared" si="1"/>
        <v>87.41</v>
      </c>
      <c r="H7" s="10">
        <f t="shared" si="2"/>
        <v>81.56171285</v>
      </c>
      <c r="I7" s="8">
        <v>4.0</v>
      </c>
      <c r="J7" s="7"/>
    </row>
    <row r="8">
      <c r="B8" s="8">
        <v>18.0</v>
      </c>
      <c r="C8" s="8">
        <v>1852.0</v>
      </c>
      <c r="D8" s="8"/>
      <c r="E8" s="7"/>
      <c r="F8" s="9">
        <v>1614.0</v>
      </c>
      <c r="G8" s="10">
        <f t="shared" si="1"/>
        <v>87.14</v>
      </c>
      <c r="H8" s="10">
        <f t="shared" si="2"/>
        <v>81.30982368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10"/>
      <c r="I9" s="7"/>
      <c r="J9" s="7"/>
    </row>
    <row r="10">
      <c r="A10" s="5">
        <v>51.0</v>
      </c>
      <c r="B10" s="8">
        <v>19.0</v>
      </c>
      <c r="C10" s="8">
        <v>1851.0</v>
      </c>
      <c r="D10" s="8">
        <v>1.0</v>
      </c>
      <c r="E10" s="8"/>
      <c r="F10" s="9">
        <v>1611.0</v>
      </c>
      <c r="G10" s="10">
        <f t="shared" ref="G10:G16" si="3">F10/C10*100</f>
        <v>87.03403566</v>
      </c>
      <c r="H10" s="10">
        <f t="shared" ref="H10:H16" si="4">F10/1985*100</f>
        <v>81.15869018</v>
      </c>
      <c r="I10" s="8">
        <v>3.0</v>
      </c>
      <c r="J10" s="7"/>
    </row>
    <row r="11">
      <c r="B11" s="8">
        <v>20.0</v>
      </c>
      <c r="C11" s="8">
        <v>1850.0</v>
      </c>
      <c r="D11" s="8">
        <v>1.0</v>
      </c>
      <c r="E11" s="7"/>
      <c r="F11" s="9">
        <v>1635.0</v>
      </c>
      <c r="G11" s="10">
        <f t="shared" si="3"/>
        <v>88.37837838</v>
      </c>
      <c r="H11" s="10">
        <f t="shared" si="4"/>
        <v>82.36775819</v>
      </c>
      <c r="I11" s="8">
        <v>4.0</v>
      </c>
      <c r="J11" s="7"/>
    </row>
    <row r="12">
      <c r="B12" s="8">
        <v>21.0</v>
      </c>
      <c r="C12" s="8">
        <v>1850.0</v>
      </c>
      <c r="D12" s="7"/>
      <c r="E12" s="7"/>
      <c r="F12" s="9">
        <v>1647.0</v>
      </c>
      <c r="G12" s="10">
        <f t="shared" si="3"/>
        <v>89.02702703</v>
      </c>
      <c r="H12" s="10">
        <f t="shared" si="4"/>
        <v>82.97229219</v>
      </c>
      <c r="I12" s="8">
        <v>4.0</v>
      </c>
      <c r="J12" s="7"/>
    </row>
    <row r="13">
      <c r="B13" s="8">
        <v>22.0</v>
      </c>
      <c r="C13" s="8">
        <v>1850.0</v>
      </c>
      <c r="D13" s="8"/>
      <c r="E13" s="7"/>
      <c r="F13" s="9">
        <v>1642.0</v>
      </c>
      <c r="G13" s="10">
        <f t="shared" si="3"/>
        <v>88.75675676</v>
      </c>
      <c r="H13" s="10">
        <f t="shared" si="4"/>
        <v>82.72040302</v>
      </c>
      <c r="I13" s="8">
        <v>3.0</v>
      </c>
      <c r="J13" s="7"/>
    </row>
    <row r="14">
      <c r="B14" s="8">
        <v>23.0</v>
      </c>
      <c r="C14" s="8">
        <v>1849.0</v>
      </c>
      <c r="D14" s="8">
        <v>1.0</v>
      </c>
      <c r="E14" s="7"/>
      <c r="F14" s="9">
        <v>1606.0</v>
      </c>
      <c r="G14" s="10">
        <f t="shared" si="3"/>
        <v>86.85776095</v>
      </c>
      <c r="H14" s="10">
        <f t="shared" si="4"/>
        <v>80.90680101</v>
      </c>
      <c r="I14" s="8">
        <v>4.0</v>
      </c>
      <c r="J14" s="7"/>
    </row>
    <row r="15">
      <c r="B15" s="8">
        <v>24.0</v>
      </c>
      <c r="C15" s="8">
        <v>1848.0</v>
      </c>
      <c r="D15" s="8">
        <v>1.0</v>
      </c>
      <c r="E15" s="7"/>
      <c r="F15" s="9">
        <v>1643.0</v>
      </c>
      <c r="G15" s="10">
        <f t="shared" si="3"/>
        <v>88.90692641</v>
      </c>
      <c r="H15" s="10">
        <f t="shared" si="4"/>
        <v>82.77078086</v>
      </c>
      <c r="I15" s="8">
        <v>4.0</v>
      </c>
      <c r="J15" s="7"/>
    </row>
    <row r="16">
      <c r="B16" s="8">
        <v>25.0</v>
      </c>
      <c r="C16" s="8">
        <v>1848.0</v>
      </c>
      <c r="D16" s="8"/>
      <c r="E16" s="7"/>
      <c r="F16" s="9">
        <v>1604.0</v>
      </c>
      <c r="G16" s="10">
        <f t="shared" si="3"/>
        <v>86.7965368</v>
      </c>
      <c r="H16" s="10">
        <f t="shared" si="4"/>
        <v>80.80604534</v>
      </c>
      <c r="I16" s="8">
        <v>3.0</v>
      </c>
      <c r="J16" s="7"/>
    </row>
    <row r="17">
      <c r="A17" s="7"/>
      <c r="B17" s="7"/>
      <c r="C17" s="7"/>
      <c r="D17" s="7"/>
      <c r="E17" s="7"/>
      <c r="F17" s="7"/>
      <c r="G17" s="10"/>
      <c r="H17" s="10"/>
      <c r="I17" s="7"/>
      <c r="J17" s="7"/>
    </row>
    <row r="18">
      <c r="A18" s="5">
        <v>52.0</v>
      </c>
      <c r="B18" s="8">
        <v>26.0</v>
      </c>
      <c r="C18" s="8">
        <v>1846.0</v>
      </c>
      <c r="D18" s="8">
        <v>2.0</v>
      </c>
      <c r="E18" s="7"/>
      <c r="F18" s="8">
        <v>1620.0</v>
      </c>
      <c r="G18" s="10">
        <f t="shared" ref="G18:G24" si="5">F18/C18*100</f>
        <v>87.75731311</v>
      </c>
      <c r="H18" s="10">
        <f>F18/1985*100</f>
        <v>81.61209068</v>
      </c>
      <c r="I18" s="8">
        <v>4.0</v>
      </c>
      <c r="J18" s="7"/>
    </row>
    <row r="19">
      <c r="B19" s="8">
        <v>27.0</v>
      </c>
      <c r="C19" s="8">
        <v>1846.0</v>
      </c>
      <c r="D19" s="7"/>
      <c r="E19" s="7"/>
      <c r="F19" s="8">
        <v>1631.0</v>
      </c>
      <c r="G19" s="10">
        <f t="shared" si="5"/>
        <v>88.3531961</v>
      </c>
      <c r="H19" s="10">
        <f t="shared" ref="H19:H24" si="6">TRUNC(F19/1985*100, 2)</f>
        <v>82.16</v>
      </c>
      <c r="I19" s="8">
        <v>4.0</v>
      </c>
      <c r="J19" s="7"/>
    </row>
    <row r="20">
      <c r="B20" s="8">
        <v>28.0</v>
      </c>
      <c r="C20" s="8">
        <v>1844.0</v>
      </c>
      <c r="D20" s="8">
        <v>2.0</v>
      </c>
      <c r="E20" s="7"/>
      <c r="F20" s="8">
        <v>1611.0</v>
      </c>
      <c r="G20" s="10">
        <f t="shared" si="5"/>
        <v>87.36442516</v>
      </c>
      <c r="H20" s="10">
        <f t="shared" si="6"/>
        <v>81.15</v>
      </c>
      <c r="I20" s="8">
        <v>3.0</v>
      </c>
      <c r="J20" s="7"/>
    </row>
    <row r="21">
      <c r="B21" s="8">
        <v>29.0</v>
      </c>
      <c r="C21" s="8">
        <v>1843.0</v>
      </c>
      <c r="D21" s="8">
        <v>1.0</v>
      </c>
      <c r="E21" s="7"/>
      <c r="F21" s="8">
        <v>1611.0</v>
      </c>
      <c r="G21" s="10">
        <f t="shared" si="5"/>
        <v>87.41182854</v>
      </c>
      <c r="H21" s="10">
        <f t="shared" si="6"/>
        <v>81.15</v>
      </c>
      <c r="I21" s="8">
        <v>4.0</v>
      </c>
      <c r="J21" s="7"/>
    </row>
    <row r="22">
      <c r="B22" s="8">
        <v>30.0</v>
      </c>
      <c r="C22" s="8">
        <v>1843.0</v>
      </c>
      <c r="D22" s="7"/>
      <c r="E22" s="7"/>
      <c r="F22" s="8">
        <v>1637.0</v>
      </c>
      <c r="G22" s="10">
        <f t="shared" si="5"/>
        <v>88.82257189</v>
      </c>
      <c r="H22" s="10">
        <f t="shared" si="6"/>
        <v>82.46</v>
      </c>
      <c r="I22" s="8">
        <v>4.0</v>
      </c>
      <c r="J22" s="7"/>
    </row>
    <row r="23">
      <c r="B23" s="8">
        <v>31.0</v>
      </c>
      <c r="C23" s="8">
        <v>1842.0</v>
      </c>
      <c r="D23" s="8">
        <v>1.0</v>
      </c>
      <c r="E23" s="7"/>
      <c r="F23" s="9">
        <v>1651.0</v>
      </c>
      <c r="G23" s="10">
        <f t="shared" si="5"/>
        <v>89.63083605</v>
      </c>
      <c r="H23" s="10">
        <f t="shared" si="6"/>
        <v>83.17</v>
      </c>
      <c r="I23" s="8">
        <v>3.0</v>
      </c>
      <c r="J23" s="7"/>
    </row>
    <row r="24">
      <c r="B24" s="11">
        <v>45901.0</v>
      </c>
      <c r="C24" s="8">
        <v>1841.0</v>
      </c>
      <c r="D24" s="8">
        <v>1.0</v>
      </c>
      <c r="E24" s="7"/>
      <c r="F24" s="9">
        <v>1639.0</v>
      </c>
      <c r="G24" s="10">
        <f t="shared" si="5"/>
        <v>89.02770234</v>
      </c>
      <c r="H24" s="10">
        <f t="shared" si="6"/>
        <v>82.56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10"/>
      <c r="I25" s="7"/>
      <c r="J25" s="7"/>
    </row>
    <row r="26">
      <c r="A26" s="5">
        <v>53.0</v>
      </c>
      <c r="B26" s="8">
        <v>2.0</v>
      </c>
      <c r="C26" s="8">
        <v>1841.0</v>
      </c>
      <c r="D26" s="8"/>
      <c r="E26" s="7"/>
      <c r="F26" s="8">
        <v>1635.0</v>
      </c>
      <c r="G26" s="10">
        <f t="shared" ref="G26:G32" si="7">F26/C26*100</f>
        <v>88.81042911</v>
      </c>
      <c r="H26" s="10">
        <f t="shared" ref="H26:H32" si="8">F26/1985*100</f>
        <v>82.36775819</v>
      </c>
      <c r="I26" s="8">
        <v>4.0</v>
      </c>
      <c r="J26" s="7"/>
    </row>
    <row r="27">
      <c r="B27" s="8">
        <v>3.0</v>
      </c>
      <c r="C27" s="8">
        <v>1841.0</v>
      </c>
      <c r="D27" s="8"/>
      <c r="E27" s="7"/>
      <c r="F27" s="8">
        <v>1626.0</v>
      </c>
      <c r="G27" s="10">
        <f t="shared" si="7"/>
        <v>88.32156437</v>
      </c>
      <c r="H27" s="10">
        <f t="shared" si="8"/>
        <v>81.91435768</v>
      </c>
      <c r="I27" s="8">
        <v>3.0</v>
      </c>
      <c r="J27" s="7"/>
    </row>
    <row r="28">
      <c r="B28" s="8">
        <v>4.0</v>
      </c>
      <c r="C28" s="8">
        <v>1841.0</v>
      </c>
      <c r="D28" s="7"/>
      <c r="E28" s="7"/>
      <c r="F28" s="8">
        <v>1622.0</v>
      </c>
      <c r="G28" s="10">
        <f t="shared" si="7"/>
        <v>88.10429115</v>
      </c>
      <c r="H28" s="10">
        <f t="shared" si="8"/>
        <v>81.71284635</v>
      </c>
      <c r="I28" s="8">
        <v>4.0</v>
      </c>
      <c r="J28" s="7"/>
    </row>
    <row r="29">
      <c r="B29" s="8">
        <v>5.0</v>
      </c>
      <c r="C29" s="8">
        <v>1839.0</v>
      </c>
      <c r="D29" s="8">
        <v>2.0</v>
      </c>
      <c r="E29" s="7"/>
      <c r="F29" s="8">
        <v>1613.0</v>
      </c>
      <c r="G29" s="10">
        <f t="shared" si="7"/>
        <v>87.71071234</v>
      </c>
      <c r="H29" s="10">
        <f t="shared" si="8"/>
        <v>81.25944584</v>
      </c>
      <c r="I29" s="8">
        <v>4.0</v>
      </c>
      <c r="J29" s="7"/>
    </row>
    <row r="30">
      <c r="B30" s="8">
        <v>6.0</v>
      </c>
      <c r="C30" s="8">
        <v>1836.0</v>
      </c>
      <c r="D30" s="8"/>
      <c r="E30" s="8">
        <v>3.0</v>
      </c>
      <c r="F30" s="8">
        <v>1617.0</v>
      </c>
      <c r="G30" s="10">
        <f t="shared" si="7"/>
        <v>88.07189542</v>
      </c>
      <c r="H30" s="10">
        <f t="shared" si="8"/>
        <v>81.46095718</v>
      </c>
      <c r="I30" s="8">
        <v>3.0</v>
      </c>
      <c r="J30" s="7"/>
    </row>
    <row r="31">
      <c r="B31" s="8">
        <v>7.0</v>
      </c>
      <c r="C31" s="8">
        <v>1836.0</v>
      </c>
      <c r="D31" s="8"/>
      <c r="E31" s="8"/>
      <c r="F31" s="9">
        <v>1517.0</v>
      </c>
      <c r="G31" s="10">
        <f t="shared" si="7"/>
        <v>82.62527233</v>
      </c>
      <c r="H31" s="10">
        <f t="shared" si="8"/>
        <v>76.4231738</v>
      </c>
      <c r="I31" s="8">
        <v>4.0</v>
      </c>
      <c r="J31" s="7"/>
    </row>
    <row r="32">
      <c r="B32" s="8">
        <v>8.0</v>
      </c>
      <c r="C32" s="8">
        <v>1833.0</v>
      </c>
      <c r="D32" s="8">
        <v>3.0</v>
      </c>
      <c r="E32" s="8"/>
      <c r="F32" s="9">
        <v>1609.0</v>
      </c>
      <c r="G32" s="10">
        <f t="shared" si="7"/>
        <v>87.77959629</v>
      </c>
      <c r="H32" s="10">
        <f t="shared" si="8"/>
        <v>81.05793451</v>
      </c>
      <c r="I32" s="8">
        <v>3.0</v>
      </c>
      <c r="J32" s="7"/>
    </row>
    <row r="33">
      <c r="H33" s="10"/>
    </row>
  </sheetData>
  <mergeCells count="4">
    <mergeCell ref="A2:A8"/>
    <mergeCell ref="A10:A16"/>
    <mergeCell ref="A18:A24"/>
    <mergeCell ref="A26:A3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54.0</v>
      </c>
      <c r="B2" s="8">
        <v>9.0</v>
      </c>
      <c r="C2" s="8">
        <v>1832.0</v>
      </c>
      <c r="D2" s="8">
        <v>1.0</v>
      </c>
      <c r="E2" s="7"/>
      <c r="F2" s="8">
        <v>1604.0</v>
      </c>
      <c r="G2" s="10">
        <f t="shared" ref="G2:G8" si="1">F2/C2*100</f>
        <v>87.55458515</v>
      </c>
      <c r="H2" s="8">
        <f t="shared" ref="H2:H8" si="2">TRUNC(F2/1985*100, 2)</f>
        <v>80.8</v>
      </c>
      <c r="I2" s="8">
        <v>4.0</v>
      </c>
      <c r="J2" s="7"/>
    </row>
    <row r="3">
      <c r="B3" s="8">
        <v>10.0</v>
      </c>
      <c r="C3" s="8">
        <v>1830.0</v>
      </c>
      <c r="D3" s="8">
        <v>1.0</v>
      </c>
      <c r="E3" s="8">
        <v>1.0</v>
      </c>
      <c r="F3" s="8">
        <v>1591.0</v>
      </c>
      <c r="G3" s="10">
        <f t="shared" si="1"/>
        <v>86.93989071</v>
      </c>
      <c r="H3" s="8">
        <f t="shared" si="2"/>
        <v>80.15</v>
      </c>
      <c r="I3" s="8">
        <v>4.0</v>
      </c>
      <c r="J3" s="7"/>
    </row>
    <row r="4">
      <c r="B4" s="8">
        <v>11.0</v>
      </c>
      <c r="C4" s="8">
        <v>1830.0</v>
      </c>
      <c r="D4" s="8"/>
      <c r="E4" s="7"/>
      <c r="F4" s="8">
        <v>1600.0</v>
      </c>
      <c r="G4" s="10">
        <f t="shared" si="1"/>
        <v>87.43169399</v>
      </c>
      <c r="H4" s="8">
        <f t="shared" si="2"/>
        <v>80.6</v>
      </c>
      <c r="I4" s="8">
        <v>3.0</v>
      </c>
      <c r="J4" s="7"/>
    </row>
    <row r="5">
      <c r="B5" s="8">
        <v>12.0</v>
      </c>
      <c r="C5" s="8">
        <v>1830.0</v>
      </c>
      <c r="D5" s="8"/>
      <c r="E5" s="7"/>
      <c r="F5" s="8">
        <v>1595.0</v>
      </c>
      <c r="G5" s="10">
        <f t="shared" si="1"/>
        <v>87.15846995</v>
      </c>
      <c r="H5" s="8">
        <f t="shared" si="2"/>
        <v>80.35</v>
      </c>
      <c r="I5" s="8">
        <v>4.0</v>
      </c>
      <c r="J5" s="7"/>
    </row>
    <row r="6">
      <c r="B6" s="8">
        <v>13.0</v>
      </c>
      <c r="C6" s="8">
        <v>1829.0</v>
      </c>
      <c r="D6" s="12">
        <v>1.0</v>
      </c>
      <c r="E6" s="7"/>
      <c r="F6" s="8">
        <v>1536.0</v>
      </c>
      <c r="G6" s="10">
        <f t="shared" si="1"/>
        <v>83.98031711</v>
      </c>
      <c r="H6" s="8">
        <f t="shared" si="2"/>
        <v>77.38</v>
      </c>
      <c r="I6" s="8">
        <v>4.0</v>
      </c>
      <c r="J6" s="7"/>
    </row>
    <row r="7">
      <c r="B7" s="8">
        <v>14.0</v>
      </c>
      <c r="C7" s="8">
        <v>1829.0</v>
      </c>
      <c r="D7" s="8"/>
      <c r="E7" s="7"/>
      <c r="F7" s="9">
        <v>1615.0</v>
      </c>
      <c r="G7" s="10">
        <f t="shared" si="1"/>
        <v>88.29961728</v>
      </c>
      <c r="H7" s="8">
        <f t="shared" si="2"/>
        <v>81.36</v>
      </c>
      <c r="I7" s="8">
        <v>3.0</v>
      </c>
      <c r="J7" s="7"/>
    </row>
    <row r="8">
      <c r="B8" s="8">
        <v>15.0</v>
      </c>
      <c r="C8" s="8">
        <v>1826.0</v>
      </c>
      <c r="D8" s="8">
        <v>3.0</v>
      </c>
      <c r="E8" s="7"/>
      <c r="F8" s="9">
        <v>1577.0</v>
      </c>
      <c r="G8" s="10">
        <f t="shared" si="1"/>
        <v>86.36363636</v>
      </c>
      <c r="H8" s="8">
        <f t="shared" si="2"/>
        <v>79.44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8"/>
      <c r="I9" s="7"/>
      <c r="J9" s="7"/>
    </row>
    <row r="10">
      <c r="A10" s="5">
        <v>55.0</v>
      </c>
      <c r="B10" s="8">
        <v>16.0</v>
      </c>
      <c r="C10" s="8">
        <v>1826.0</v>
      </c>
      <c r="D10" s="7"/>
      <c r="E10" s="7"/>
      <c r="F10" s="9">
        <v>1602.0</v>
      </c>
      <c r="G10" s="10">
        <f t="shared" ref="G10:G12" si="3">F10/C10*100</f>
        <v>87.73274918</v>
      </c>
      <c r="H10" s="8">
        <f t="shared" ref="H10:H16" si="4">TRUNC(F10/1985*100, 2)</f>
        <v>80.7</v>
      </c>
      <c r="I10" s="8">
        <v>4.0</v>
      </c>
      <c r="J10" s="7"/>
    </row>
    <row r="11">
      <c r="B11" s="8">
        <v>17.0</v>
      </c>
      <c r="C11" s="8">
        <v>1824.0</v>
      </c>
      <c r="D11" s="8">
        <v>2.0</v>
      </c>
      <c r="E11" s="7"/>
      <c r="F11" s="9">
        <v>1558.0</v>
      </c>
      <c r="G11" s="10">
        <f t="shared" si="3"/>
        <v>85.41666667</v>
      </c>
      <c r="H11" s="8">
        <f t="shared" si="4"/>
        <v>78.48</v>
      </c>
      <c r="I11" s="8">
        <v>3.0</v>
      </c>
      <c r="J11" s="7"/>
    </row>
    <row r="12">
      <c r="B12" s="8">
        <v>18.0</v>
      </c>
      <c r="C12" s="8">
        <v>1822.0</v>
      </c>
      <c r="D12" s="8">
        <v>2.0</v>
      </c>
      <c r="E12" s="7"/>
      <c r="F12" s="9">
        <v>1582.0</v>
      </c>
      <c r="G12" s="10">
        <f t="shared" si="3"/>
        <v>86.82766191</v>
      </c>
      <c r="H12" s="8">
        <f t="shared" si="4"/>
        <v>79.69</v>
      </c>
      <c r="I12" s="8">
        <v>4.0</v>
      </c>
      <c r="J12" s="7"/>
    </row>
    <row r="13">
      <c r="B13" s="8">
        <v>19.0</v>
      </c>
      <c r="C13" s="8">
        <v>1820.0</v>
      </c>
      <c r="D13" s="8">
        <v>2.0</v>
      </c>
      <c r="E13" s="7"/>
      <c r="F13" s="9">
        <v>1482.0</v>
      </c>
      <c r="G13" s="10">
        <f t="shared" ref="G13:G14" si="5">trunc(F13/C13*100, 2)</f>
        <v>81.42</v>
      </c>
      <c r="H13" s="8">
        <f t="shared" si="4"/>
        <v>74.65</v>
      </c>
      <c r="I13" s="8">
        <v>4.0</v>
      </c>
      <c r="J13" s="7"/>
    </row>
    <row r="14">
      <c r="B14" s="8">
        <v>20.0</v>
      </c>
      <c r="C14" s="8">
        <v>1818.0</v>
      </c>
      <c r="D14" s="8">
        <v>2.0</v>
      </c>
      <c r="E14" s="7"/>
      <c r="F14" s="9">
        <v>1484.0</v>
      </c>
      <c r="G14" s="10">
        <f t="shared" si="5"/>
        <v>81.62</v>
      </c>
      <c r="H14" s="8">
        <f t="shared" si="4"/>
        <v>74.76</v>
      </c>
      <c r="I14" s="8">
        <v>3.0</v>
      </c>
      <c r="J14" s="7"/>
    </row>
    <row r="15">
      <c r="B15" s="8">
        <v>21.0</v>
      </c>
      <c r="C15" s="8">
        <v>1817.0</v>
      </c>
      <c r="D15" s="8">
        <v>1.0</v>
      </c>
      <c r="E15" s="7"/>
      <c r="F15" s="9">
        <v>1431.0</v>
      </c>
      <c r="G15" s="10">
        <f t="shared" ref="G15:G16" si="6">F15/C15*100</f>
        <v>78.75619152</v>
      </c>
      <c r="H15" s="8">
        <f t="shared" si="4"/>
        <v>72.09</v>
      </c>
      <c r="I15" s="8">
        <v>4.0</v>
      </c>
      <c r="J15" s="7"/>
    </row>
    <row r="16">
      <c r="B16" s="8">
        <v>22.0</v>
      </c>
      <c r="C16" s="8">
        <v>1811.0</v>
      </c>
      <c r="D16" s="8"/>
      <c r="E16" s="8">
        <v>6.0</v>
      </c>
      <c r="F16" s="9">
        <v>1406.0</v>
      </c>
      <c r="G16" s="10">
        <f t="shared" si="6"/>
        <v>77.63666483</v>
      </c>
      <c r="H16" s="8">
        <f t="shared" si="4"/>
        <v>70.83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56.0</v>
      </c>
      <c r="B18" s="8">
        <v>23.0</v>
      </c>
      <c r="C18" s="8">
        <v>1810.0</v>
      </c>
      <c r="D18" s="8">
        <v>1.0</v>
      </c>
      <c r="E18" s="7"/>
      <c r="F18" s="8">
        <v>1370.0</v>
      </c>
      <c r="G18" s="10">
        <f>F18/C18*100</f>
        <v>75.69060773</v>
      </c>
      <c r="H18" s="8">
        <f t="shared" ref="H18:H24" si="7">TRUNC(F18/1985*100, 2)</f>
        <v>69.01</v>
      </c>
      <c r="I18" s="8">
        <v>3.0</v>
      </c>
      <c r="J18" s="7"/>
    </row>
    <row r="19">
      <c r="B19" s="8">
        <v>24.0</v>
      </c>
      <c r="C19" s="8">
        <v>1807.0</v>
      </c>
      <c r="D19" s="8">
        <v>3.0</v>
      </c>
      <c r="E19" s="7"/>
      <c r="F19" s="8">
        <v>1361.0</v>
      </c>
      <c r="G19" s="10">
        <f t="shared" ref="G19:G24" si="8">TRUNC(F19/C19*100, 2)</f>
        <v>75.31</v>
      </c>
      <c r="H19" s="8">
        <f t="shared" si="7"/>
        <v>68.56</v>
      </c>
      <c r="I19" s="8">
        <v>3.0</v>
      </c>
      <c r="J19" s="7"/>
    </row>
    <row r="20">
      <c r="B20" s="8">
        <v>25.0</v>
      </c>
      <c r="C20" s="8">
        <v>1806.0</v>
      </c>
      <c r="D20" s="8">
        <v>1.0</v>
      </c>
      <c r="E20" s="7"/>
      <c r="F20" s="8">
        <v>1411.0</v>
      </c>
      <c r="G20" s="10">
        <f t="shared" si="8"/>
        <v>78.12</v>
      </c>
      <c r="H20" s="8">
        <f t="shared" si="7"/>
        <v>71.08</v>
      </c>
      <c r="I20" s="8">
        <v>4.0</v>
      </c>
      <c r="J20" s="7"/>
    </row>
    <row r="21">
      <c r="B21" s="8">
        <v>26.0</v>
      </c>
      <c r="C21" s="8">
        <v>1803.0</v>
      </c>
      <c r="D21" s="8">
        <v>3.0</v>
      </c>
      <c r="E21" s="7"/>
      <c r="F21" s="8">
        <v>1472.0</v>
      </c>
      <c r="G21" s="10">
        <f t="shared" si="8"/>
        <v>81.64</v>
      </c>
      <c r="H21" s="8">
        <f t="shared" si="7"/>
        <v>74.15</v>
      </c>
      <c r="I21" s="8">
        <v>4.0</v>
      </c>
      <c r="J21" s="7"/>
    </row>
    <row r="22">
      <c r="B22" s="8">
        <v>27.0</v>
      </c>
      <c r="C22" s="8">
        <v>1802.0</v>
      </c>
      <c r="D22" s="8">
        <v>1.0</v>
      </c>
      <c r="E22" s="7"/>
      <c r="F22" s="8">
        <v>1512.0</v>
      </c>
      <c r="G22" s="10">
        <f t="shared" si="8"/>
        <v>83.9</v>
      </c>
      <c r="H22" s="8">
        <f t="shared" si="7"/>
        <v>76.17</v>
      </c>
      <c r="I22" s="8">
        <v>4.0</v>
      </c>
      <c r="J22" s="7"/>
    </row>
    <row r="23">
      <c r="B23" s="8">
        <v>28.0</v>
      </c>
      <c r="C23" s="8">
        <v>1802.0</v>
      </c>
      <c r="D23" s="8"/>
      <c r="E23" s="7"/>
      <c r="F23" s="9">
        <v>1554.0</v>
      </c>
      <c r="G23" s="10">
        <f t="shared" si="8"/>
        <v>86.23</v>
      </c>
      <c r="H23" s="8">
        <f t="shared" si="7"/>
        <v>78.28</v>
      </c>
      <c r="I23" s="8">
        <v>4.0</v>
      </c>
      <c r="J23" s="7"/>
      <c r="N23" s="12" t="s">
        <v>14</v>
      </c>
    </row>
    <row r="24">
      <c r="B24" s="8">
        <v>29.0</v>
      </c>
      <c r="C24" s="8">
        <v>1801.0</v>
      </c>
      <c r="D24" s="8">
        <v>1.0</v>
      </c>
      <c r="E24" s="7"/>
      <c r="F24" s="9">
        <v>1594.0</v>
      </c>
      <c r="G24" s="10">
        <f t="shared" si="8"/>
        <v>88.5</v>
      </c>
      <c r="H24" s="8">
        <f t="shared" si="7"/>
        <v>80.3</v>
      </c>
      <c r="I24" s="8">
        <v>2.0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57.0</v>
      </c>
      <c r="B26" s="8">
        <v>30.0</v>
      </c>
      <c r="C26" s="8">
        <v>1801.0</v>
      </c>
      <c r="D26" s="8"/>
      <c r="E26" s="7"/>
      <c r="F26" s="8">
        <v>1624.0</v>
      </c>
      <c r="G26" s="10">
        <f t="shared" ref="G26:G32" si="9">TRUNC(F26/C26*100, 2)</f>
        <v>90.17</v>
      </c>
      <c r="H26" s="8">
        <f t="shared" ref="H26:H32" si="10">TRUNC(F26/1985*100, 2)</f>
        <v>81.81</v>
      </c>
      <c r="I26" s="8">
        <v>4.0</v>
      </c>
      <c r="J26" s="7"/>
    </row>
    <row r="27">
      <c r="B27" s="6">
        <v>45931.0</v>
      </c>
      <c r="C27" s="8">
        <v>1800.0</v>
      </c>
      <c r="D27" s="8">
        <v>1.0</v>
      </c>
      <c r="E27" s="7"/>
      <c r="F27" s="8">
        <v>1631.0</v>
      </c>
      <c r="G27" s="10">
        <f t="shared" si="9"/>
        <v>90.61</v>
      </c>
      <c r="H27" s="8">
        <f t="shared" si="10"/>
        <v>82.16</v>
      </c>
      <c r="I27" s="8">
        <v>3.0</v>
      </c>
      <c r="J27" s="7"/>
    </row>
    <row r="28">
      <c r="B28" s="8">
        <v>2.0</v>
      </c>
      <c r="C28" s="8">
        <v>1798.0</v>
      </c>
      <c r="D28" s="8">
        <v>2.0</v>
      </c>
      <c r="E28" s="7"/>
      <c r="F28" s="8">
        <v>1618.0</v>
      </c>
      <c r="G28" s="10">
        <f t="shared" si="9"/>
        <v>89.98</v>
      </c>
      <c r="H28" s="8">
        <f t="shared" si="10"/>
        <v>81.51</v>
      </c>
      <c r="I28" s="8">
        <v>3.0</v>
      </c>
      <c r="J28" s="7"/>
    </row>
    <row r="29">
      <c r="B29" s="8">
        <v>3.0</v>
      </c>
      <c r="C29" s="8">
        <v>1791.0</v>
      </c>
      <c r="D29" s="8">
        <v>1.0</v>
      </c>
      <c r="E29" s="8">
        <v>6.0</v>
      </c>
      <c r="F29" s="8">
        <v>1592.0</v>
      </c>
      <c r="G29" s="10">
        <f t="shared" si="9"/>
        <v>88.88</v>
      </c>
      <c r="H29" s="8">
        <f t="shared" si="10"/>
        <v>80.2</v>
      </c>
      <c r="I29" s="8">
        <v>4.0</v>
      </c>
      <c r="J29" s="7"/>
    </row>
    <row r="30">
      <c r="B30" s="8">
        <v>4.0</v>
      </c>
      <c r="C30" s="8">
        <v>1791.0</v>
      </c>
      <c r="D30" s="8"/>
      <c r="E30" s="8"/>
      <c r="F30" s="8">
        <v>1631.0</v>
      </c>
      <c r="G30" s="10">
        <f t="shared" si="9"/>
        <v>91.06</v>
      </c>
      <c r="H30" s="8">
        <f t="shared" si="10"/>
        <v>82.16</v>
      </c>
      <c r="I30" s="8">
        <v>4.0</v>
      </c>
      <c r="J30" s="7"/>
    </row>
    <row r="31">
      <c r="B31" s="8">
        <v>5.0</v>
      </c>
      <c r="C31" s="8">
        <v>1790.0</v>
      </c>
      <c r="D31" s="8">
        <v>1.0</v>
      </c>
      <c r="E31" s="8"/>
      <c r="F31" s="9">
        <v>1606.0</v>
      </c>
      <c r="G31" s="10">
        <f t="shared" si="9"/>
        <v>89.72</v>
      </c>
      <c r="H31" s="8">
        <f t="shared" si="10"/>
        <v>80.9</v>
      </c>
      <c r="I31" s="8">
        <v>4.0</v>
      </c>
      <c r="J31" s="7"/>
    </row>
    <row r="32">
      <c r="B32" s="8">
        <v>6.0</v>
      </c>
      <c r="C32" s="8">
        <v>1789.0</v>
      </c>
      <c r="D32" s="8">
        <v>1.0</v>
      </c>
      <c r="E32" s="8"/>
      <c r="F32" s="9">
        <v>1629.0</v>
      </c>
      <c r="G32" s="10">
        <f t="shared" si="9"/>
        <v>91.05</v>
      </c>
      <c r="H32" s="8">
        <f t="shared" si="10"/>
        <v>82.06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58.0</v>
      </c>
      <c r="B2" s="8">
        <v>7.0</v>
      </c>
      <c r="C2" s="8">
        <v>1788.0</v>
      </c>
      <c r="D2" s="8">
        <v>1.0</v>
      </c>
      <c r="E2" s="7"/>
      <c r="F2" s="8">
        <v>1593.0</v>
      </c>
      <c r="G2" s="10">
        <f t="shared" ref="G2:G8" si="1">TRUNC(F2/C2*100,2)</f>
        <v>89.09</v>
      </c>
      <c r="H2" s="10">
        <f t="shared" ref="H2:H8" si="2">F2/1985*100</f>
        <v>80.25188917</v>
      </c>
      <c r="I2" s="8">
        <v>4.0</v>
      </c>
      <c r="J2" s="7"/>
    </row>
    <row r="3">
      <c r="B3" s="8">
        <v>8.0</v>
      </c>
      <c r="C3" s="8">
        <v>1785.0</v>
      </c>
      <c r="D3" s="8">
        <v>3.0</v>
      </c>
      <c r="E3" s="7"/>
      <c r="F3" s="8">
        <v>1587.0</v>
      </c>
      <c r="G3" s="10">
        <f t="shared" si="1"/>
        <v>88.9</v>
      </c>
      <c r="H3" s="10">
        <f t="shared" si="2"/>
        <v>79.94962217</v>
      </c>
      <c r="I3" s="8">
        <v>4.0</v>
      </c>
      <c r="J3" s="7"/>
    </row>
    <row r="4">
      <c r="B4" s="8">
        <v>9.0</v>
      </c>
      <c r="C4" s="8">
        <v>1782.0</v>
      </c>
      <c r="D4" s="8">
        <v>3.0</v>
      </c>
      <c r="E4" s="7"/>
      <c r="F4" s="8">
        <v>1595.0</v>
      </c>
      <c r="G4" s="10">
        <f t="shared" si="1"/>
        <v>89.5</v>
      </c>
      <c r="H4" s="10">
        <f t="shared" si="2"/>
        <v>80.35264484</v>
      </c>
      <c r="I4" s="8">
        <v>4.0</v>
      </c>
      <c r="J4" s="7"/>
    </row>
    <row r="5">
      <c r="B5" s="8">
        <v>10.0</v>
      </c>
      <c r="C5" s="8">
        <v>1779.0</v>
      </c>
      <c r="D5" s="8">
        <v>3.0</v>
      </c>
      <c r="E5" s="7"/>
      <c r="F5" s="8">
        <v>1586.0</v>
      </c>
      <c r="G5" s="10">
        <f t="shared" si="1"/>
        <v>89.15</v>
      </c>
      <c r="H5" s="10">
        <f t="shared" si="2"/>
        <v>79.89924433</v>
      </c>
      <c r="I5" s="8">
        <v>4.0</v>
      </c>
      <c r="J5" s="7"/>
    </row>
    <row r="6">
      <c r="B6" s="8">
        <v>11.0</v>
      </c>
      <c r="C6" s="8">
        <v>1778.0</v>
      </c>
      <c r="D6" s="8">
        <v>1.0</v>
      </c>
      <c r="E6" s="7"/>
      <c r="F6" s="8">
        <v>1560.0</v>
      </c>
      <c r="G6" s="10">
        <f t="shared" si="1"/>
        <v>87.73</v>
      </c>
      <c r="H6" s="10">
        <f t="shared" si="2"/>
        <v>78.58942065</v>
      </c>
      <c r="I6" s="8">
        <v>4.0</v>
      </c>
      <c r="J6" s="7"/>
    </row>
    <row r="7">
      <c r="B7" s="8">
        <v>12.0</v>
      </c>
      <c r="C7" s="8">
        <v>1778.0</v>
      </c>
      <c r="D7" s="8"/>
      <c r="E7" s="7"/>
      <c r="F7" s="9">
        <v>1620.0</v>
      </c>
      <c r="G7" s="10">
        <f t="shared" si="1"/>
        <v>91.11</v>
      </c>
      <c r="H7" s="10">
        <f t="shared" si="2"/>
        <v>81.61209068</v>
      </c>
      <c r="I7" s="8">
        <v>4.0</v>
      </c>
      <c r="J7" s="7"/>
    </row>
    <row r="8">
      <c r="B8" s="8">
        <v>13.0</v>
      </c>
      <c r="C8" s="8">
        <v>1777.0</v>
      </c>
      <c r="D8" s="8">
        <v>1.0</v>
      </c>
      <c r="E8" s="7"/>
      <c r="F8" s="9">
        <v>1621.0</v>
      </c>
      <c r="G8" s="10">
        <f t="shared" si="1"/>
        <v>91.22</v>
      </c>
      <c r="H8" s="10">
        <f t="shared" si="2"/>
        <v>81.66246851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10"/>
      <c r="I9" s="7"/>
      <c r="J9" s="7"/>
    </row>
    <row r="10">
      <c r="A10" s="5">
        <v>59.0</v>
      </c>
      <c r="B10" s="8">
        <v>14.0</v>
      </c>
      <c r="C10" s="8">
        <v>1774.0</v>
      </c>
      <c r="D10" s="7"/>
      <c r="E10" s="8">
        <v>3.0</v>
      </c>
      <c r="F10" s="9">
        <v>1595.0</v>
      </c>
      <c r="G10" s="10">
        <f t="shared" ref="G10:G16" si="3">F10/C10*100</f>
        <v>89.90980834</v>
      </c>
      <c r="H10" s="10">
        <f t="shared" ref="H10:H16" si="4">F10/1985*100</f>
        <v>80.35264484</v>
      </c>
      <c r="I10" s="8">
        <v>4.0</v>
      </c>
      <c r="J10" s="7"/>
    </row>
    <row r="11">
      <c r="B11" s="8">
        <v>15.0</v>
      </c>
      <c r="C11" s="8">
        <v>1774.0</v>
      </c>
      <c r="D11" s="7"/>
      <c r="E11" s="7"/>
      <c r="F11" s="9">
        <v>1625.0</v>
      </c>
      <c r="G11" s="10">
        <f t="shared" si="3"/>
        <v>91.60090192</v>
      </c>
      <c r="H11" s="10">
        <f t="shared" si="4"/>
        <v>81.86397985</v>
      </c>
      <c r="I11" s="8">
        <v>4.0</v>
      </c>
      <c r="J11" s="7"/>
    </row>
    <row r="12">
      <c r="B12" s="8">
        <v>16.0</v>
      </c>
      <c r="C12" s="8">
        <v>1774.0</v>
      </c>
      <c r="D12" s="7"/>
      <c r="E12" s="7"/>
      <c r="F12" s="9">
        <v>1603.0</v>
      </c>
      <c r="G12" s="10">
        <f t="shared" si="3"/>
        <v>90.36076663</v>
      </c>
      <c r="H12" s="10">
        <f t="shared" si="4"/>
        <v>80.75566751</v>
      </c>
      <c r="I12" s="8">
        <v>4.0</v>
      </c>
      <c r="J12" s="7"/>
    </row>
    <row r="13">
      <c r="B13" s="8">
        <v>17.0</v>
      </c>
      <c r="C13" s="8">
        <v>1774.0</v>
      </c>
      <c r="D13" s="8"/>
      <c r="E13" s="7"/>
      <c r="F13" s="9">
        <v>1606.0</v>
      </c>
      <c r="G13" s="10">
        <f t="shared" si="3"/>
        <v>90.52987599</v>
      </c>
      <c r="H13" s="10">
        <f t="shared" si="4"/>
        <v>80.90680101</v>
      </c>
      <c r="I13" s="8">
        <v>4.0</v>
      </c>
      <c r="J13" s="7"/>
    </row>
    <row r="14">
      <c r="B14" s="8">
        <v>18.0</v>
      </c>
      <c r="C14" s="8">
        <v>1773.0</v>
      </c>
      <c r="D14" s="7"/>
      <c r="E14" s="7"/>
      <c r="F14" s="9">
        <v>1622.0</v>
      </c>
      <c r="G14" s="10">
        <f t="shared" si="3"/>
        <v>91.48336153</v>
      </c>
      <c r="H14" s="10">
        <f t="shared" si="4"/>
        <v>81.71284635</v>
      </c>
      <c r="I14" s="8">
        <v>4.0</v>
      </c>
      <c r="J14" s="7"/>
    </row>
    <row r="15">
      <c r="B15" s="8">
        <v>19.0</v>
      </c>
      <c r="C15" s="8">
        <v>1772.0</v>
      </c>
      <c r="D15" s="8">
        <v>1.0</v>
      </c>
      <c r="E15" s="7"/>
      <c r="F15" s="9">
        <v>1619.0</v>
      </c>
      <c r="G15" s="10">
        <f t="shared" si="3"/>
        <v>91.36568849</v>
      </c>
      <c r="H15" s="10">
        <f t="shared" si="4"/>
        <v>81.56171285</v>
      </c>
      <c r="I15" s="8">
        <v>4.0</v>
      </c>
      <c r="J15" s="7"/>
    </row>
    <row r="16">
      <c r="B16" s="8">
        <v>20.0</v>
      </c>
      <c r="C16" s="8">
        <v>1772.0</v>
      </c>
      <c r="D16" s="8">
        <v>1.0</v>
      </c>
      <c r="E16" s="7"/>
      <c r="F16" s="9">
        <v>1634.0</v>
      </c>
      <c r="G16" s="10">
        <f t="shared" si="3"/>
        <v>92.21218962</v>
      </c>
      <c r="H16" s="10">
        <f t="shared" si="4"/>
        <v>82.31738035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10"/>
      <c r="I17" s="7"/>
      <c r="J17" s="7"/>
    </row>
    <row r="18">
      <c r="A18" s="5">
        <v>60.0</v>
      </c>
      <c r="B18" s="8">
        <v>21.0</v>
      </c>
      <c r="C18" s="8">
        <v>1770.0</v>
      </c>
      <c r="D18" s="8">
        <v>2.0</v>
      </c>
      <c r="E18" s="7"/>
      <c r="F18" s="8">
        <v>1614.0</v>
      </c>
      <c r="G18" s="10">
        <f t="shared" ref="G18:G24" si="5">F18/C18*100</f>
        <v>91.18644068</v>
      </c>
      <c r="H18" s="10">
        <f t="shared" ref="H18:H24" si="6">F18/1985*100</f>
        <v>81.30982368</v>
      </c>
      <c r="I18" s="8">
        <v>4.0</v>
      </c>
      <c r="J18" s="7"/>
    </row>
    <row r="19">
      <c r="B19" s="8">
        <v>22.0</v>
      </c>
      <c r="C19" s="8">
        <v>1770.0</v>
      </c>
      <c r="D19" s="7"/>
      <c r="E19" s="7"/>
      <c r="F19" s="8">
        <v>1596.0</v>
      </c>
      <c r="G19" s="10">
        <f t="shared" si="5"/>
        <v>90.16949153</v>
      </c>
      <c r="H19" s="10">
        <f t="shared" si="6"/>
        <v>80.40302267</v>
      </c>
      <c r="I19" s="8">
        <v>4.0</v>
      </c>
      <c r="J19" s="7"/>
    </row>
    <row r="20">
      <c r="B20" s="8">
        <v>23.0</v>
      </c>
      <c r="C20" s="8">
        <v>1767.0</v>
      </c>
      <c r="D20" s="8">
        <v>3.0</v>
      </c>
      <c r="E20" s="7"/>
      <c r="F20" s="8">
        <v>1578.0</v>
      </c>
      <c r="G20" s="10">
        <f t="shared" si="5"/>
        <v>89.30390492</v>
      </c>
      <c r="H20" s="10">
        <f t="shared" si="6"/>
        <v>79.49622166</v>
      </c>
      <c r="I20" s="8">
        <v>4.0</v>
      </c>
      <c r="J20" s="7"/>
    </row>
    <row r="21">
      <c r="B21" s="8">
        <v>24.0</v>
      </c>
      <c r="C21" s="8">
        <v>1764.0</v>
      </c>
      <c r="D21" s="8">
        <v>3.0</v>
      </c>
      <c r="E21" s="7"/>
      <c r="F21" s="8">
        <v>1591.0</v>
      </c>
      <c r="G21" s="10">
        <f t="shared" si="5"/>
        <v>90.19274376</v>
      </c>
      <c r="H21" s="10">
        <f t="shared" si="6"/>
        <v>80.1511335</v>
      </c>
      <c r="I21" s="8">
        <v>4.0</v>
      </c>
      <c r="J21" s="7"/>
    </row>
    <row r="22">
      <c r="B22" s="8">
        <v>25.0</v>
      </c>
      <c r="C22" s="8">
        <v>1764.0</v>
      </c>
      <c r="D22" s="7"/>
      <c r="E22" s="7"/>
      <c r="F22" s="8">
        <v>1548.0</v>
      </c>
      <c r="G22" s="10">
        <f t="shared" si="5"/>
        <v>87.75510204</v>
      </c>
      <c r="H22" s="10">
        <f t="shared" si="6"/>
        <v>77.98488665</v>
      </c>
      <c r="I22" s="8">
        <v>4.0</v>
      </c>
      <c r="J22" s="7"/>
    </row>
    <row r="23">
      <c r="B23" s="8">
        <v>26.0</v>
      </c>
      <c r="C23" s="8">
        <v>1764.0</v>
      </c>
      <c r="D23" s="7"/>
      <c r="E23" s="7"/>
      <c r="F23" s="9">
        <v>1578.0</v>
      </c>
      <c r="G23" s="10">
        <f t="shared" si="5"/>
        <v>89.45578231</v>
      </c>
      <c r="H23" s="10">
        <f t="shared" si="6"/>
        <v>79.49622166</v>
      </c>
      <c r="I23" s="8">
        <v>4.0</v>
      </c>
      <c r="J23" s="7"/>
    </row>
    <row r="24">
      <c r="B24" s="8">
        <v>27.0</v>
      </c>
      <c r="C24" s="8">
        <v>1763.0</v>
      </c>
      <c r="D24" s="8">
        <v>1.0</v>
      </c>
      <c r="E24" s="7"/>
      <c r="F24" s="9">
        <v>1551.0</v>
      </c>
      <c r="G24" s="10">
        <f t="shared" si="5"/>
        <v>87.97504254</v>
      </c>
      <c r="H24" s="10">
        <f t="shared" si="6"/>
        <v>78.13602015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10"/>
      <c r="I25" s="7"/>
      <c r="J25" s="7"/>
    </row>
    <row r="26">
      <c r="A26" s="5">
        <v>61.0</v>
      </c>
      <c r="B26" s="8">
        <v>28.0</v>
      </c>
      <c r="C26" s="8">
        <v>1763.0</v>
      </c>
      <c r="D26" s="8"/>
      <c r="E26" s="7"/>
      <c r="F26" s="8">
        <v>1597.0</v>
      </c>
      <c r="G26" s="10">
        <f t="shared" ref="G26:G56" si="7">F26/C26*100</f>
        <v>90.58423142</v>
      </c>
      <c r="H26" s="10">
        <f t="shared" ref="H26:H56" si="8">F26/1985*100</f>
        <v>80.4534005</v>
      </c>
      <c r="I26" s="8">
        <v>4.0</v>
      </c>
      <c r="J26" s="7"/>
    </row>
    <row r="27">
      <c r="B27" s="8">
        <v>29.0</v>
      </c>
      <c r="C27" s="8">
        <v>1763.0</v>
      </c>
      <c r="D27" s="8"/>
      <c r="E27" s="7"/>
      <c r="F27" s="8">
        <v>1584.0</v>
      </c>
      <c r="G27" s="10">
        <f t="shared" si="7"/>
        <v>89.84685196</v>
      </c>
      <c r="H27" s="10">
        <f t="shared" si="8"/>
        <v>79.79848866</v>
      </c>
      <c r="I27" s="8">
        <v>4.0</v>
      </c>
      <c r="J27" s="7"/>
    </row>
    <row r="28">
      <c r="B28" s="8">
        <v>30.0</v>
      </c>
      <c r="C28" s="8">
        <v>1763.0</v>
      </c>
      <c r="D28" s="7"/>
      <c r="E28" s="7"/>
      <c r="F28" s="8">
        <v>1566.0</v>
      </c>
      <c r="G28" s="10">
        <f t="shared" si="7"/>
        <v>88.825865</v>
      </c>
      <c r="H28" s="10">
        <f t="shared" si="8"/>
        <v>78.89168766</v>
      </c>
      <c r="I28" s="8">
        <v>4.0</v>
      </c>
      <c r="J28" s="7"/>
    </row>
    <row r="29">
      <c r="B29" s="8">
        <v>31.0</v>
      </c>
      <c r="C29" s="8">
        <v>1761.0</v>
      </c>
      <c r="D29" s="8">
        <v>2.0</v>
      </c>
      <c r="E29" s="7"/>
      <c r="F29" s="8">
        <v>1597.0</v>
      </c>
      <c r="G29" s="10">
        <f t="shared" si="7"/>
        <v>90.6871096</v>
      </c>
      <c r="H29" s="10">
        <f t="shared" si="8"/>
        <v>80.4534005</v>
      </c>
      <c r="I29" s="8">
        <v>4.0</v>
      </c>
      <c r="J29" s="7"/>
    </row>
    <row r="30">
      <c r="B30" s="11">
        <v>45962.0</v>
      </c>
      <c r="C30" s="8">
        <v>1759.0</v>
      </c>
      <c r="D30" s="8">
        <v>2.0</v>
      </c>
      <c r="E30" s="8"/>
      <c r="F30" s="8">
        <v>1579.0</v>
      </c>
      <c r="G30" s="10">
        <f t="shared" si="7"/>
        <v>89.76691302</v>
      </c>
      <c r="H30" s="10">
        <f t="shared" si="8"/>
        <v>79.5465995</v>
      </c>
      <c r="I30" s="8">
        <v>4.0</v>
      </c>
      <c r="J30" s="7"/>
    </row>
    <row r="31">
      <c r="B31" s="8">
        <v>2.0</v>
      </c>
      <c r="C31" s="8">
        <v>1757.0</v>
      </c>
      <c r="D31" s="8">
        <v>2.0</v>
      </c>
      <c r="E31" s="8"/>
      <c r="F31" s="9">
        <v>1581.0</v>
      </c>
      <c r="G31" s="10">
        <f t="shared" si="7"/>
        <v>89.98292544</v>
      </c>
      <c r="H31" s="10">
        <f t="shared" si="8"/>
        <v>79.64735516</v>
      </c>
      <c r="I31" s="8">
        <v>4.0</v>
      </c>
      <c r="J31" s="7"/>
    </row>
    <row r="32">
      <c r="B32" s="8">
        <v>3.0</v>
      </c>
      <c r="C32" s="8">
        <v>1757.0</v>
      </c>
      <c r="D32" s="8"/>
      <c r="E32" s="8"/>
      <c r="F32" s="9">
        <v>1573.0</v>
      </c>
      <c r="G32" s="10">
        <f t="shared" si="7"/>
        <v>89.52760387</v>
      </c>
      <c r="H32" s="10">
        <f t="shared" si="8"/>
        <v>79.24433249</v>
      </c>
      <c r="I32" s="8">
        <v>4.0</v>
      </c>
      <c r="J32" s="7"/>
    </row>
    <row r="33">
      <c r="G33" s="10" t="str">
        <f t="shared" si="7"/>
        <v>#DIV/0!</v>
      </c>
      <c r="H33" s="10">
        <f t="shared" si="8"/>
        <v>0</v>
      </c>
    </row>
    <row r="34">
      <c r="A34" s="16">
        <v>92.0</v>
      </c>
      <c r="B34" s="17">
        <v>2.0</v>
      </c>
      <c r="C34" s="17">
        <v>1169.0</v>
      </c>
      <c r="D34" s="17">
        <v>1.0</v>
      </c>
      <c r="E34" s="18"/>
      <c r="F34" s="17">
        <v>899.0</v>
      </c>
      <c r="G34" s="10">
        <f t="shared" si="7"/>
        <v>76.90333618</v>
      </c>
      <c r="H34" s="10">
        <f t="shared" si="8"/>
        <v>45.28967254</v>
      </c>
      <c r="I34" s="18"/>
      <c r="J34" s="18"/>
    </row>
    <row r="35">
      <c r="B35" s="19">
        <v>3.0</v>
      </c>
      <c r="C35" s="19">
        <v>1164.0</v>
      </c>
      <c r="D35" s="19">
        <v>0.0</v>
      </c>
      <c r="E35" s="19">
        <v>5.0</v>
      </c>
      <c r="F35" s="19">
        <v>902.0</v>
      </c>
      <c r="G35" s="10">
        <f t="shared" si="7"/>
        <v>77.49140893</v>
      </c>
      <c r="H35" s="10">
        <f t="shared" si="8"/>
        <v>45.44080605</v>
      </c>
      <c r="I35" s="18"/>
      <c r="J35" s="18"/>
    </row>
    <row r="36">
      <c r="B36" s="17">
        <v>4.0</v>
      </c>
      <c r="C36" s="19">
        <v>1163.0</v>
      </c>
      <c r="D36" s="17">
        <v>1.0</v>
      </c>
      <c r="E36" s="17">
        <v>0.0</v>
      </c>
      <c r="F36" s="17">
        <v>934.0</v>
      </c>
      <c r="G36" s="10">
        <f t="shared" si="7"/>
        <v>80.30954428</v>
      </c>
      <c r="H36" s="10">
        <f t="shared" si="8"/>
        <v>47.05289673</v>
      </c>
      <c r="I36" s="18"/>
      <c r="J36" s="18"/>
    </row>
    <row r="37">
      <c r="B37" s="19">
        <v>5.0</v>
      </c>
      <c r="C37" s="19">
        <v>1156.0</v>
      </c>
      <c r="D37" s="17">
        <v>1.0</v>
      </c>
      <c r="E37" s="17">
        <v>6.0</v>
      </c>
      <c r="F37" s="17">
        <v>927.0</v>
      </c>
      <c r="G37" s="10">
        <f t="shared" si="7"/>
        <v>80.19031142</v>
      </c>
      <c r="H37" s="10">
        <f t="shared" si="8"/>
        <v>46.70025189</v>
      </c>
      <c r="I37" s="18"/>
      <c r="J37" s="18"/>
    </row>
    <row r="38">
      <c r="B38" s="17">
        <v>6.0</v>
      </c>
      <c r="C38" s="19">
        <v>1156.0</v>
      </c>
      <c r="D38" s="17">
        <v>0.0</v>
      </c>
      <c r="E38" s="18"/>
      <c r="F38" s="17">
        <v>892.0</v>
      </c>
      <c r="G38" s="10">
        <f t="shared" si="7"/>
        <v>77.16262976</v>
      </c>
      <c r="H38" s="10">
        <f t="shared" si="8"/>
        <v>44.93702771</v>
      </c>
      <c r="I38" s="18"/>
      <c r="J38" s="18"/>
    </row>
    <row r="39">
      <c r="B39" s="19">
        <v>7.0</v>
      </c>
      <c r="C39" s="19">
        <v>1154.0</v>
      </c>
      <c r="D39" s="17">
        <v>2.0</v>
      </c>
      <c r="E39" s="18"/>
      <c r="F39" s="17">
        <v>937.0</v>
      </c>
      <c r="G39" s="10">
        <f t="shared" si="7"/>
        <v>81.19584055</v>
      </c>
      <c r="H39" s="10">
        <f t="shared" si="8"/>
        <v>47.20403023</v>
      </c>
      <c r="I39" s="18"/>
      <c r="J39" s="18"/>
    </row>
    <row r="40">
      <c r="B40" s="17">
        <v>8.0</v>
      </c>
      <c r="C40" s="19">
        <v>1152.0</v>
      </c>
      <c r="D40" s="17">
        <v>1.0</v>
      </c>
      <c r="E40" s="17">
        <v>1.0</v>
      </c>
      <c r="F40" s="17">
        <v>939.0</v>
      </c>
      <c r="G40" s="10">
        <f t="shared" si="7"/>
        <v>81.51041667</v>
      </c>
      <c r="H40" s="10">
        <f t="shared" si="8"/>
        <v>47.30478589</v>
      </c>
      <c r="I40" s="18"/>
      <c r="J40" s="18"/>
    </row>
    <row r="41">
      <c r="A41" s="16">
        <v>93.0</v>
      </c>
      <c r="B41" s="20">
        <v>9.0</v>
      </c>
      <c r="C41" s="20">
        <v>1148.0</v>
      </c>
      <c r="D41" s="21">
        <v>2.0</v>
      </c>
      <c r="E41" s="21">
        <v>2.0</v>
      </c>
      <c r="F41" s="21">
        <v>918.0</v>
      </c>
      <c r="G41" s="10">
        <f t="shared" si="7"/>
        <v>79.96515679</v>
      </c>
      <c r="H41" s="10">
        <f t="shared" si="8"/>
        <v>46.24685139</v>
      </c>
      <c r="I41" s="21">
        <v>3.0</v>
      </c>
      <c r="J41" s="18"/>
    </row>
    <row r="42">
      <c r="B42" s="22">
        <v>10.0</v>
      </c>
      <c r="C42" s="22">
        <v>1146.0</v>
      </c>
      <c r="D42" s="21">
        <v>1.0</v>
      </c>
      <c r="E42" s="21">
        <v>1.0</v>
      </c>
      <c r="F42" s="21">
        <v>958.0</v>
      </c>
      <c r="G42" s="10">
        <f t="shared" si="7"/>
        <v>83.59511344</v>
      </c>
      <c r="H42" s="10">
        <f t="shared" si="8"/>
        <v>48.26196474</v>
      </c>
      <c r="I42" s="21">
        <v>2.0</v>
      </c>
      <c r="J42" s="18"/>
    </row>
    <row r="43">
      <c r="B43" s="20">
        <v>11.0</v>
      </c>
      <c r="C43" s="22">
        <v>1136.0</v>
      </c>
      <c r="D43" s="18"/>
      <c r="E43" s="21">
        <v>10.0</v>
      </c>
      <c r="F43" s="21">
        <v>934.0</v>
      </c>
      <c r="G43" s="10">
        <f t="shared" si="7"/>
        <v>82.21830986</v>
      </c>
      <c r="H43" s="10">
        <f t="shared" si="8"/>
        <v>47.05289673</v>
      </c>
      <c r="I43" s="21">
        <v>2.0</v>
      </c>
      <c r="J43" s="18"/>
    </row>
    <row r="44">
      <c r="B44" s="22">
        <v>12.0</v>
      </c>
      <c r="C44" s="22">
        <v>1134.0</v>
      </c>
      <c r="D44" s="21">
        <v>2.0</v>
      </c>
      <c r="E44" s="18"/>
      <c r="F44" s="21">
        <v>923.0</v>
      </c>
      <c r="G44" s="10">
        <f t="shared" si="7"/>
        <v>81.39329806</v>
      </c>
      <c r="H44" s="10">
        <f t="shared" si="8"/>
        <v>46.49874055</v>
      </c>
      <c r="I44" s="21">
        <v>2.0</v>
      </c>
      <c r="J44" s="18"/>
    </row>
    <row r="45">
      <c r="B45" s="20">
        <v>13.0</v>
      </c>
      <c r="C45" s="22">
        <v>1133.0</v>
      </c>
      <c r="D45" s="21">
        <v>1.0</v>
      </c>
      <c r="E45" s="18"/>
      <c r="F45" s="21">
        <v>912.0</v>
      </c>
      <c r="G45" s="10">
        <f t="shared" si="7"/>
        <v>80.49426302</v>
      </c>
      <c r="H45" s="10">
        <f t="shared" si="8"/>
        <v>45.94458438</v>
      </c>
      <c r="I45" s="21">
        <v>2.0</v>
      </c>
      <c r="J45" s="18"/>
    </row>
    <row r="46">
      <c r="B46" s="22">
        <v>14.0</v>
      </c>
      <c r="C46" s="22">
        <v>1133.0</v>
      </c>
      <c r="D46" s="18"/>
      <c r="E46" s="18"/>
      <c r="F46" s="21">
        <v>908.0</v>
      </c>
      <c r="G46" s="10">
        <f t="shared" si="7"/>
        <v>80.14121801</v>
      </c>
      <c r="H46" s="10">
        <f t="shared" si="8"/>
        <v>45.74307305</v>
      </c>
      <c r="I46" s="21">
        <v>2.0</v>
      </c>
      <c r="J46" s="18"/>
    </row>
    <row r="47">
      <c r="B47" s="20">
        <v>15.0</v>
      </c>
      <c r="C47" s="22">
        <v>1131.0</v>
      </c>
      <c r="D47" s="21">
        <v>2.0</v>
      </c>
      <c r="E47" s="18"/>
      <c r="F47" s="21">
        <v>907.0</v>
      </c>
      <c r="G47" s="10">
        <f t="shared" si="7"/>
        <v>80.19451813</v>
      </c>
      <c r="H47" s="10">
        <f t="shared" si="8"/>
        <v>45.69269521</v>
      </c>
      <c r="I47" s="21">
        <v>3.0</v>
      </c>
      <c r="J47" s="18"/>
    </row>
    <row r="48">
      <c r="G48" s="10" t="str">
        <f t="shared" si="7"/>
        <v>#DIV/0!</v>
      </c>
      <c r="H48" s="10">
        <f t="shared" si="8"/>
        <v>0</v>
      </c>
    </row>
    <row r="49">
      <c r="G49" s="10" t="str">
        <f t="shared" si="7"/>
        <v>#DIV/0!</v>
      </c>
      <c r="H49" s="10">
        <f t="shared" si="8"/>
        <v>0</v>
      </c>
    </row>
    <row r="50">
      <c r="A50" s="23">
        <v>89.0</v>
      </c>
      <c r="B50" s="17">
        <v>12.0</v>
      </c>
      <c r="C50" s="17">
        <v>1271.0</v>
      </c>
      <c r="D50" s="17">
        <v>2.0</v>
      </c>
      <c r="E50" s="17">
        <v>1.0</v>
      </c>
      <c r="F50" s="17">
        <v>956.0</v>
      </c>
      <c r="G50" s="10">
        <f t="shared" si="7"/>
        <v>75.21636507</v>
      </c>
      <c r="H50" s="10">
        <f t="shared" si="8"/>
        <v>48.16120907</v>
      </c>
      <c r="I50" s="19">
        <v>3.0</v>
      </c>
    </row>
    <row r="51">
      <c r="B51" s="19">
        <v>13.0</v>
      </c>
      <c r="C51" s="19">
        <v>1236.0</v>
      </c>
      <c r="D51" s="19">
        <v>5.0</v>
      </c>
      <c r="E51" s="18"/>
      <c r="F51" s="19">
        <v>936.0</v>
      </c>
      <c r="G51" s="10">
        <f t="shared" si="7"/>
        <v>75.72815534</v>
      </c>
      <c r="H51" s="10">
        <f t="shared" si="8"/>
        <v>47.15365239</v>
      </c>
      <c r="I51" s="19">
        <v>2.0</v>
      </c>
    </row>
    <row r="52">
      <c r="B52" s="17">
        <v>14.0</v>
      </c>
      <c r="C52" s="19">
        <v>1234.0</v>
      </c>
      <c r="D52" s="17">
        <v>2.0</v>
      </c>
      <c r="E52" s="18"/>
      <c r="F52" s="17">
        <v>911.0</v>
      </c>
      <c r="G52" s="10">
        <f t="shared" si="7"/>
        <v>73.82495948</v>
      </c>
      <c r="H52" s="10">
        <f t="shared" si="8"/>
        <v>45.89420655</v>
      </c>
      <c r="I52" s="19">
        <v>3.0</v>
      </c>
    </row>
    <row r="53">
      <c r="B53" s="19">
        <v>15.0</v>
      </c>
      <c r="C53" s="19">
        <v>1223.0</v>
      </c>
      <c r="D53" s="17">
        <v>5.0</v>
      </c>
      <c r="E53" s="18"/>
      <c r="F53" s="17">
        <v>939.0</v>
      </c>
      <c r="G53" s="10">
        <f t="shared" si="7"/>
        <v>76.77841374</v>
      </c>
      <c r="H53" s="10">
        <f t="shared" si="8"/>
        <v>47.30478589</v>
      </c>
      <c r="I53" s="19">
        <v>2.0</v>
      </c>
    </row>
    <row r="54">
      <c r="B54" s="17">
        <v>16.0</v>
      </c>
      <c r="C54" s="19">
        <v>1223.0</v>
      </c>
      <c r="D54" s="17">
        <v>6.0</v>
      </c>
      <c r="E54" s="18"/>
      <c r="F54" s="17">
        <v>910.0</v>
      </c>
      <c r="G54" s="10">
        <f t="shared" si="7"/>
        <v>74.40719542</v>
      </c>
      <c r="H54" s="10">
        <f t="shared" si="8"/>
        <v>45.84382872</v>
      </c>
      <c r="I54" s="19">
        <v>3.0</v>
      </c>
    </row>
    <row r="55">
      <c r="B55" s="19">
        <v>17.0</v>
      </c>
      <c r="C55" s="19">
        <v>1216.0</v>
      </c>
      <c r="D55" s="17">
        <v>7.0</v>
      </c>
      <c r="E55" s="18"/>
      <c r="F55" s="17">
        <v>900.0</v>
      </c>
      <c r="G55" s="10">
        <f t="shared" si="7"/>
        <v>74.01315789</v>
      </c>
      <c r="H55" s="10">
        <f t="shared" si="8"/>
        <v>45.34005038</v>
      </c>
      <c r="I55" s="19">
        <v>2.0</v>
      </c>
    </row>
    <row r="56">
      <c r="B56" s="17">
        <v>18.0</v>
      </c>
      <c r="C56" s="19">
        <v>1212.0</v>
      </c>
      <c r="D56" s="17">
        <v>4.0</v>
      </c>
      <c r="E56" s="18"/>
      <c r="F56" s="17">
        <v>885.0</v>
      </c>
      <c r="G56" s="10">
        <f t="shared" si="7"/>
        <v>73.01980198</v>
      </c>
      <c r="H56" s="10">
        <f t="shared" si="8"/>
        <v>44.58438287</v>
      </c>
      <c r="I56" s="19">
        <v>3.0</v>
      </c>
    </row>
  </sheetData>
  <mergeCells count="7">
    <mergeCell ref="A2:A8"/>
    <mergeCell ref="A10:A16"/>
    <mergeCell ref="A18:A24"/>
    <mergeCell ref="A26:A32"/>
    <mergeCell ref="A34:A40"/>
    <mergeCell ref="A41:A47"/>
    <mergeCell ref="A50:A5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62.0</v>
      </c>
      <c r="B2" s="8">
        <v>4.0</v>
      </c>
      <c r="C2" s="8">
        <v>1755.0</v>
      </c>
      <c r="D2" s="8">
        <v>2.0</v>
      </c>
      <c r="E2" s="7"/>
      <c r="F2" s="8">
        <v>1590.0</v>
      </c>
      <c r="G2" s="8">
        <v>90.6</v>
      </c>
      <c r="H2" s="8">
        <v>80.1</v>
      </c>
      <c r="I2" s="8">
        <v>4.0</v>
      </c>
      <c r="J2" s="7"/>
    </row>
    <row r="3">
      <c r="B3" s="8">
        <v>5.0</v>
      </c>
      <c r="C3" s="8">
        <v>1754.0</v>
      </c>
      <c r="D3" s="8">
        <v>1.0</v>
      </c>
      <c r="E3" s="7"/>
      <c r="F3" s="8">
        <v>1564.0</v>
      </c>
      <c r="G3" s="8">
        <v>89.17</v>
      </c>
      <c r="H3" s="8">
        <v>78.8</v>
      </c>
      <c r="I3" s="8">
        <v>4.0</v>
      </c>
      <c r="J3" s="7"/>
    </row>
    <row r="4">
      <c r="B4" s="8">
        <v>6.0</v>
      </c>
      <c r="C4" s="8">
        <v>1754.0</v>
      </c>
      <c r="D4" s="8"/>
      <c r="E4" s="7"/>
      <c r="F4" s="8">
        <v>1571.0</v>
      </c>
      <c r="G4" s="8">
        <v>89.57</v>
      </c>
      <c r="H4" s="8">
        <v>79.14</v>
      </c>
      <c r="I4" s="8">
        <v>4.0</v>
      </c>
      <c r="J4" s="7"/>
    </row>
    <row r="5">
      <c r="B5" s="8">
        <v>7.0</v>
      </c>
      <c r="C5" s="8">
        <v>1753.0</v>
      </c>
      <c r="D5" s="8">
        <v>1.0</v>
      </c>
      <c r="E5" s="7"/>
      <c r="F5" s="8">
        <v>1565.0</v>
      </c>
      <c r="G5" s="8">
        <v>89.28</v>
      </c>
      <c r="H5" s="8">
        <v>78.84</v>
      </c>
      <c r="I5" s="8">
        <v>4.0</v>
      </c>
      <c r="J5" s="7"/>
    </row>
    <row r="6">
      <c r="B6" s="8">
        <v>8.0</v>
      </c>
      <c r="C6" s="8">
        <v>1753.0</v>
      </c>
      <c r="D6" s="8"/>
      <c r="E6" s="7"/>
      <c r="F6" s="8">
        <v>1584.0</v>
      </c>
      <c r="G6" s="8">
        <v>90.36</v>
      </c>
      <c r="H6" s="8">
        <v>79.8</v>
      </c>
      <c r="I6" s="8">
        <v>4.0</v>
      </c>
      <c r="J6" s="7"/>
    </row>
    <row r="7">
      <c r="B7" s="8">
        <v>9.0</v>
      </c>
      <c r="C7" s="8">
        <v>1753.0</v>
      </c>
      <c r="D7" s="8"/>
      <c r="E7" s="7"/>
      <c r="F7" s="9">
        <v>1548.0</v>
      </c>
      <c r="G7" s="8">
        <v>88.31</v>
      </c>
      <c r="H7" s="8">
        <v>77.98</v>
      </c>
      <c r="I7" s="8">
        <v>4.0</v>
      </c>
      <c r="J7" s="7"/>
    </row>
    <row r="8">
      <c r="B8" s="8">
        <v>10.0</v>
      </c>
      <c r="C8" s="8">
        <v>1753.0</v>
      </c>
      <c r="D8" s="7"/>
      <c r="E8" s="7"/>
      <c r="F8" s="9">
        <v>1562.0</v>
      </c>
      <c r="G8" s="8">
        <v>89.1</v>
      </c>
      <c r="H8" s="8">
        <v>78.69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63.0</v>
      </c>
      <c r="B10" s="8">
        <v>11.0</v>
      </c>
      <c r="C10" s="8">
        <v>1753.0</v>
      </c>
      <c r="D10" s="7"/>
      <c r="E10" s="7"/>
      <c r="F10" s="9">
        <v>1530.0</v>
      </c>
      <c r="G10" s="8">
        <v>87.28</v>
      </c>
      <c r="H10" s="8">
        <v>77.08</v>
      </c>
      <c r="I10" s="8">
        <v>4.0</v>
      </c>
      <c r="J10" s="7"/>
    </row>
    <row r="11">
      <c r="B11" s="8">
        <v>12.0</v>
      </c>
      <c r="C11" s="8">
        <v>1753.0</v>
      </c>
      <c r="D11" s="7"/>
      <c r="E11" s="7"/>
      <c r="F11" s="9">
        <v>1550.0</v>
      </c>
      <c r="G11" s="8">
        <v>88.42</v>
      </c>
      <c r="H11" s="8">
        <v>78.09</v>
      </c>
      <c r="I11" s="8">
        <v>4.0</v>
      </c>
      <c r="J11" s="7"/>
    </row>
    <row r="12">
      <c r="B12" s="8">
        <v>13.0</v>
      </c>
      <c r="C12" s="8">
        <v>1753.0</v>
      </c>
      <c r="D12" s="7"/>
      <c r="E12" s="7"/>
      <c r="F12" s="9">
        <v>1577.0</v>
      </c>
      <c r="G12" s="8">
        <v>88.96</v>
      </c>
      <c r="H12" s="8">
        <v>79.45</v>
      </c>
      <c r="I12" s="8">
        <v>4.0</v>
      </c>
      <c r="J12" s="7"/>
    </row>
    <row r="13">
      <c r="B13" s="8">
        <v>14.0</v>
      </c>
      <c r="C13" s="8">
        <v>1752.0</v>
      </c>
      <c r="D13" s="8">
        <v>1.0</v>
      </c>
      <c r="E13" s="7"/>
      <c r="F13" s="9">
        <v>1574.0</v>
      </c>
      <c r="G13" s="8">
        <v>89.84</v>
      </c>
      <c r="H13" s="8">
        <v>79.29</v>
      </c>
      <c r="I13" s="8">
        <v>4.0</v>
      </c>
      <c r="J13" s="7"/>
    </row>
    <row r="14">
      <c r="B14" s="8">
        <v>15.0</v>
      </c>
      <c r="C14" s="8">
        <v>1752.0</v>
      </c>
      <c r="D14" s="7"/>
      <c r="E14" s="7"/>
      <c r="F14" s="9">
        <v>1533.0</v>
      </c>
      <c r="G14" s="8">
        <v>87.5</v>
      </c>
      <c r="H14" s="8">
        <v>77.23</v>
      </c>
      <c r="I14" s="8">
        <v>4.0</v>
      </c>
      <c r="J14" s="7"/>
    </row>
    <row r="15">
      <c r="B15" s="8">
        <v>16.0</v>
      </c>
      <c r="C15" s="8">
        <v>1751.0</v>
      </c>
      <c r="D15" s="8">
        <v>1.0</v>
      </c>
      <c r="E15" s="7"/>
      <c r="F15" s="9">
        <v>1586.0</v>
      </c>
      <c r="G15" s="8">
        <v>90.58</v>
      </c>
      <c r="H15" s="8">
        <v>79.9</v>
      </c>
      <c r="I15" s="8">
        <v>4.0</v>
      </c>
      <c r="J15" s="7"/>
    </row>
    <row r="16">
      <c r="B16" s="8">
        <v>17.0</v>
      </c>
      <c r="C16" s="8">
        <v>1749.0</v>
      </c>
      <c r="D16" s="8">
        <v>2.0</v>
      </c>
      <c r="E16" s="7"/>
      <c r="F16" s="9">
        <v>1537.0</v>
      </c>
      <c r="G16" s="8">
        <v>87.88</v>
      </c>
      <c r="H16" s="8">
        <v>77.43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64.0</v>
      </c>
      <c r="B18" s="8">
        <v>18.0</v>
      </c>
      <c r="C18" s="8">
        <v>1748.0</v>
      </c>
      <c r="D18" s="8">
        <v>1.0</v>
      </c>
      <c r="E18" s="7"/>
      <c r="F18" s="8">
        <v>1577.0</v>
      </c>
      <c r="G18" s="8">
        <v>90.22</v>
      </c>
      <c r="H18" s="8">
        <v>79.45</v>
      </c>
      <c r="I18" s="8">
        <v>4.0</v>
      </c>
      <c r="J18" s="7"/>
    </row>
    <row r="19">
      <c r="B19" s="8">
        <v>19.0</v>
      </c>
      <c r="C19" s="8">
        <v>1748.0</v>
      </c>
      <c r="D19" s="7"/>
      <c r="E19" s="7"/>
      <c r="F19" s="8">
        <v>1566.0</v>
      </c>
      <c r="G19" s="8">
        <v>89.59</v>
      </c>
      <c r="H19" s="8">
        <v>98.89</v>
      </c>
      <c r="I19" s="8">
        <v>4.0</v>
      </c>
      <c r="J19" s="7"/>
    </row>
    <row r="20">
      <c r="B20" s="8">
        <v>20.0</v>
      </c>
      <c r="C20" s="8">
        <v>1748.0</v>
      </c>
      <c r="D20" s="7"/>
      <c r="E20" s="7"/>
      <c r="F20" s="8">
        <v>1590.0</v>
      </c>
      <c r="G20" s="8">
        <v>90.96</v>
      </c>
      <c r="H20" s="8">
        <v>80.1</v>
      </c>
      <c r="I20" s="8">
        <v>4.0</v>
      </c>
      <c r="J20" s="7"/>
    </row>
    <row r="21">
      <c r="B21" s="8">
        <v>21.0</v>
      </c>
      <c r="C21" s="8">
        <v>1748.0</v>
      </c>
      <c r="D21" s="7"/>
      <c r="E21" s="7"/>
      <c r="F21" s="8">
        <v>1590.0</v>
      </c>
      <c r="G21" s="8">
        <v>90.96</v>
      </c>
      <c r="H21" s="8">
        <v>80.1</v>
      </c>
      <c r="I21" s="8">
        <v>4.0</v>
      </c>
      <c r="J21" s="7"/>
    </row>
    <row r="22">
      <c r="B22" s="8">
        <v>22.0</v>
      </c>
      <c r="C22" s="8">
        <v>1748.0</v>
      </c>
      <c r="D22" s="7"/>
      <c r="E22" s="7"/>
      <c r="F22" s="8">
        <v>1571.0</v>
      </c>
      <c r="G22" s="8">
        <v>89.87</v>
      </c>
      <c r="H22" s="8">
        <v>79.14</v>
      </c>
      <c r="I22" s="8">
        <v>4.0</v>
      </c>
      <c r="J22" s="7"/>
    </row>
    <row r="23">
      <c r="B23" s="8">
        <v>23.0</v>
      </c>
      <c r="C23" s="8">
        <v>1748.0</v>
      </c>
      <c r="D23" s="7"/>
      <c r="E23" s="7"/>
      <c r="F23" s="9">
        <v>1586.0</v>
      </c>
      <c r="G23" s="8">
        <v>90.73</v>
      </c>
      <c r="H23" s="8">
        <v>79.9</v>
      </c>
      <c r="I23" s="8">
        <v>4.0</v>
      </c>
      <c r="J23" s="7"/>
    </row>
    <row r="24">
      <c r="B24" s="8">
        <v>24.0</v>
      </c>
      <c r="C24" s="8">
        <v>1748.0</v>
      </c>
      <c r="D24" s="7"/>
      <c r="E24" s="7"/>
      <c r="F24" s="9">
        <v>1563.0</v>
      </c>
      <c r="G24" s="8">
        <v>89.42</v>
      </c>
      <c r="H24" s="8">
        <v>78.74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65.0</v>
      </c>
      <c r="B26" s="8">
        <v>25.0</v>
      </c>
      <c r="C26" s="8">
        <v>1748.0</v>
      </c>
      <c r="D26" s="8"/>
      <c r="E26" s="7"/>
      <c r="F26" s="8">
        <v>1584.0</v>
      </c>
      <c r="G26" s="8">
        <v>90.62</v>
      </c>
      <c r="H26" s="8">
        <v>79.8</v>
      </c>
      <c r="I26" s="8">
        <v>4.0</v>
      </c>
      <c r="J26" s="7"/>
    </row>
    <row r="27">
      <c r="B27" s="8">
        <v>26.0</v>
      </c>
      <c r="C27" s="8">
        <v>1747.0</v>
      </c>
      <c r="D27" s="8">
        <v>1.0</v>
      </c>
      <c r="E27" s="7"/>
      <c r="F27" s="8">
        <v>1570.0</v>
      </c>
      <c r="G27" s="8">
        <v>89.87</v>
      </c>
      <c r="H27" s="8">
        <v>79.09</v>
      </c>
      <c r="I27" s="8">
        <v>4.0</v>
      </c>
      <c r="J27" s="7"/>
    </row>
    <row r="28">
      <c r="B28" s="8">
        <v>27.0</v>
      </c>
      <c r="C28" s="8">
        <v>1747.0</v>
      </c>
      <c r="D28" s="7"/>
      <c r="E28" s="7"/>
      <c r="F28" s="8">
        <v>1577.0</v>
      </c>
      <c r="G28" s="8">
        <v>90.27</v>
      </c>
      <c r="H28" s="8">
        <v>79.45</v>
      </c>
      <c r="I28" s="8">
        <v>4.0</v>
      </c>
      <c r="J28" s="7"/>
    </row>
    <row r="29">
      <c r="B29" s="8">
        <v>28.0</v>
      </c>
      <c r="C29" s="8">
        <v>1747.0</v>
      </c>
      <c r="D29" s="7"/>
      <c r="E29" s="7"/>
      <c r="F29" s="8">
        <v>1585.0</v>
      </c>
      <c r="G29" s="8">
        <v>90.73</v>
      </c>
      <c r="H29" s="8">
        <v>79.85</v>
      </c>
      <c r="I29" s="8">
        <v>4.0</v>
      </c>
      <c r="J29" s="7"/>
    </row>
    <row r="30">
      <c r="B30" s="8">
        <v>29.0</v>
      </c>
      <c r="C30" s="8">
        <v>1747.0</v>
      </c>
      <c r="D30" s="7"/>
      <c r="E30" s="8"/>
      <c r="F30" s="8">
        <v>1584.0</v>
      </c>
      <c r="G30" s="8">
        <v>90.67</v>
      </c>
      <c r="H30" s="8">
        <v>79.8</v>
      </c>
      <c r="I30" s="8">
        <v>4.0</v>
      </c>
      <c r="J30" s="7"/>
    </row>
    <row r="31">
      <c r="B31" s="8">
        <v>30.0</v>
      </c>
      <c r="C31" s="8">
        <v>1744.0</v>
      </c>
      <c r="D31" s="8">
        <v>3.0</v>
      </c>
      <c r="E31" s="8"/>
      <c r="F31" s="9">
        <v>1572.0</v>
      </c>
      <c r="G31" s="8">
        <v>90.14</v>
      </c>
      <c r="H31" s="8">
        <v>79.19</v>
      </c>
      <c r="I31" s="8">
        <v>4.0</v>
      </c>
      <c r="J31" s="7"/>
    </row>
    <row r="32">
      <c r="B32" s="6">
        <v>45992.0</v>
      </c>
      <c r="C32" s="8">
        <v>1741.0</v>
      </c>
      <c r="D32" s="8"/>
      <c r="E32" s="8">
        <v>3.0</v>
      </c>
      <c r="F32" s="9">
        <v>1573.0</v>
      </c>
      <c r="G32" s="8">
        <v>90.35</v>
      </c>
      <c r="H32" s="8">
        <v>79.24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24" t="s">
        <v>15</v>
      </c>
      <c r="B1" s="25" t="s">
        <v>16</v>
      </c>
    </row>
    <row r="2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4"/>
    </row>
    <row r="3">
      <c r="A3" s="8">
        <v>1.0</v>
      </c>
      <c r="B3" s="12">
        <v>19.0</v>
      </c>
      <c r="C3" s="12">
        <v>167.0</v>
      </c>
      <c r="D3" s="12">
        <v>488.0</v>
      </c>
      <c r="E3" s="12">
        <v>477.0</v>
      </c>
      <c r="F3" s="12">
        <v>251.0</v>
      </c>
      <c r="G3" s="12">
        <v>107.0</v>
      </c>
      <c r="H3" s="12">
        <v>4.0</v>
      </c>
      <c r="I3" s="12">
        <v>41.0</v>
      </c>
    </row>
    <row r="4">
      <c r="A4" s="8">
        <v>2.0</v>
      </c>
      <c r="B4" s="12">
        <v>22.0</v>
      </c>
      <c r="C4" s="12">
        <v>187.0</v>
      </c>
      <c r="D4" s="12">
        <v>477.0</v>
      </c>
      <c r="E4" s="12">
        <v>520.0</v>
      </c>
      <c r="F4" s="12">
        <v>243.0</v>
      </c>
      <c r="G4" s="12">
        <v>63.0</v>
      </c>
      <c r="I4" s="12">
        <v>34.0</v>
      </c>
    </row>
    <row r="5">
      <c r="A5" s="8">
        <v>3.0</v>
      </c>
      <c r="B5" s="12">
        <v>12.0</v>
      </c>
      <c r="C5" s="12">
        <v>201.0</v>
      </c>
      <c r="D5" s="12">
        <v>468.0</v>
      </c>
      <c r="E5" s="12">
        <v>551.0</v>
      </c>
      <c r="F5" s="12">
        <v>225.0</v>
      </c>
      <c r="G5" s="12">
        <v>64.0</v>
      </c>
      <c r="I5" s="12">
        <v>14.0</v>
      </c>
    </row>
    <row r="6">
      <c r="A6" s="8">
        <v>4.0</v>
      </c>
      <c r="B6" s="12">
        <v>41.0</v>
      </c>
      <c r="C6" s="12">
        <v>196.0</v>
      </c>
      <c r="D6" s="12">
        <v>513.0</v>
      </c>
      <c r="E6" s="12">
        <v>485.0</v>
      </c>
      <c r="F6" s="12">
        <v>207.0</v>
      </c>
      <c r="G6" s="12">
        <v>50.0</v>
      </c>
      <c r="I6" s="12">
        <v>54.0</v>
      </c>
    </row>
    <row r="7">
      <c r="A7" s="8">
        <v>5.0</v>
      </c>
      <c r="B7" s="12">
        <v>37.0</v>
      </c>
      <c r="C7" s="12">
        <v>175.0</v>
      </c>
      <c r="D7" s="12">
        <v>507.0</v>
      </c>
      <c r="E7" s="12">
        <v>503.0</v>
      </c>
      <c r="F7" s="12">
        <v>230.0</v>
      </c>
      <c r="G7" s="12">
        <v>45.0</v>
      </c>
      <c r="H7" s="12">
        <v>1.0</v>
      </c>
      <c r="I7" s="12">
        <v>53.0</v>
      </c>
    </row>
    <row r="8">
      <c r="A8" s="8">
        <v>6.0</v>
      </c>
      <c r="B8" s="12">
        <v>21.0</v>
      </c>
      <c r="C8" s="12">
        <v>227.0</v>
      </c>
      <c r="D8" s="12">
        <v>545.0</v>
      </c>
      <c r="E8" s="12">
        <v>477.0</v>
      </c>
      <c r="F8" s="12">
        <v>215.0</v>
      </c>
      <c r="G8" s="12">
        <v>37.0</v>
      </c>
      <c r="H8" s="12">
        <v>3.0</v>
      </c>
      <c r="I8" s="12">
        <v>26.0</v>
      </c>
    </row>
    <row r="9">
      <c r="A9" s="8">
        <v>7.0</v>
      </c>
      <c r="B9" s="12">
        <v>22.0</v>
      </c>
      <c r="C9" s="12">
        <v>197.0</v>
      </c>
      <c r="D9" s="12">
        <v>501.0</v>
      </c>
      <c r="E9" s="12">
        <v>503.0</v>
      </c>
      <c r="F9" s="12">
        <v>243.0</v>
      </c>
      <c r="G9" s="12">
        <v>19.0</v>
      </c>
      <c r="H9" s="12">
        <v>3.0</v>
      </c>
      <c r="I9" s="12">
        <v>42.0</v>
      </c>
    </row>
    <row r="10">
      <c r="A10" s="8">
        <v>8.0</v>
      </c>
      <c r="B10" s="12">
        <v>26.0</v>
      </c>
      <c r="C10" s="12">
        <v>135.0</v>
      </c>
      <c r="D10" s="12">
        <v>485.0</v>
      </c>
      <c r="E10" s="12">
        <v>502.0</v>
      </c>
      <c r="F10" s="12">
        <v>271.0</v>
      </c>
      <c r="G10" s="12">
        <v>54.0</v>
      </c>
      <c r="H10" s="12">
        <v>2.0</v>
      </c>
      <c r="I10" s="12">
        <v>69.0</v>
      </c>
    </row>
    <row r="11">
      <c r="A11" s="8">
        <v>9.0</v>
      </c>
      <c r="B11" s="12">
        <v>20.0</v>
      </c>
      <c r="C11" s="12">
        <v>133.0</v>
      </c>
      <c r="D11" s="12">
        <v>456.0</v>
      </c>
      <c r="E11" s="12">
        <v>510.0</v>
      </c>
      <c r="F11" s="12">
        <v>323.0</v>
      </c>
      <c r="G11" s="12">
        <v>36.0</v>
      </c>
      <c r="H11" s="12">
        <v>1.0</v>
      </c>
      <c r="I11" s="12">
        <v>68.0</v>
      </c>
    </row>
    <row r="12">
      <c r="A12" s="8">
        <v>10.0</v>
      </c>
      <c r="B12" s="12">
        <v>36.0</v>
      </c>
      <c r="C12" s="12">
        <v>111.0</v>
      </c>
      <c r="D12" s="12">
        <v>409.0</v>
      </c>
      <c r="E12" s="12">
        <v>545.0</v>
      </c>
      <c r="F12" s="12">
        <v>342.0</v>
      </c>
      <c r="G12" s="12">
        <v>34.0</v>
      </c>
      <c r="I12" s="12">
        <v>72.0</v>
      </c>
    </row>
    <row r="13">
      <c r="A13" s="8">
        <v>11.0</v>
      </c>
      <c r="B13" s="12">
        <v>22.0</v>
      </c>
      <c r="C13" s="12">
        <v>97.0</v>
      </c>
      <c r="D13" s="12">
        <v>373.0</v>
      </c>
      <c r="E13" s="12">
        <v>547.0</v>
      </c>
      <c r="F13" s="12">
        <v>291.0</v>
      </c>
      <c r="G13" s="26">
        <v>76.0</v>
      </c>
      <c r="H13" s="12">
        <v>3.0</v>
      </c>
      <c r="I13" s="12">
        <v>77.0</v>
      </c>
    </row>
    <row r="14">
      <c r="A14" s="8">
        <v>12.0</v>
      </c>
      <c r="B14" s="12">
        <v>15.0</v>
      </c>
      <c r="C14" s="12">
        <v>115.0</v>
      </c>
      <c r="D14" s="12">
        <v>417.0</v>
      </c>
      <c r="E14" s="12">
        <v>686.0</v>
      </c>
      <c r="F14" s="12">
        <v>150.0</v>
      </c>
      <c r="G14" s="26">
        <v>35.0</v>
      </c>
      <c r="I14" s="12">
        <v>69.0</v>
      </c>
    </row>
    <row r="15">
      <c r="A15" s="8">
        <v>13.0</v>
      </c>
      <c r="B15" s="12">
        <v>18.0</v>
      </c>
      <c r="C15" s="12">
        <v>120.0</v>
      </c>
      <c r="D15" s="12">
        <v>428.0</v>
      </c>
      <c r="E15" s="12">
        <v>521.0</v>
      </c>
      <c r="F15" s="12">
        <v>310.0</v>
      </c>
      <c r="G15" s="26">
        <v>36.0</v>
      </c>
      <c r="H15" s="12">
        <v>1.0</v>
      </c>
      <c r="I15" s="12">
        <v>66.0</v>
      </c>
    </row>
    <row r="16">
      <c r="A16" s="8">
        <v>14.0</v>
      </c>
      <c r="B16" s="12">
        <v>17.0</v>
      </c>
      <c r="C16" s="12">
        <v>121.0</v>
      </c>
      <c r="D16" s="12">
        <v>419.0</v>
      </c>
      <c r="E16" s="12">
        <v>517.0</v>
      </c>
      <c r="F16" s="12">
        <v>331.0</v>
      </c>
      <c r="G16" s="26">
        <v>34.0</v>
      </c>
      <c r="I16" s="12">
        <v>59.0</v>
      </c>
    </row>
    <row r="17">
      <c r="A17" s="8">
        <v>15.0</v>
      </c>
      <c r="B17" s="12">
        <v>20.0</v>
      </c>
      <c r="C17" s="12">
        <v>99.0</v>
      </c>
      <c r="D17" s="12">
        <v>471.0</v>
      </c>
      <c r="E17" s="12">
        <v>499.0</v>
      </c>
      <c r="F17" s="12">
        <v>305.0</v>
      </c>
      <c r="G17" s="26">
        <v>49.0</v>
      </c>
      <c r="I17" s="12">
        <v>62.0</v>
      </c>
    </row>
    <row r="18">
      <c r="A18" s="8">
        <v>16.0</v>
      </c>
      <c r="B18" s="12">
        <v>20.0</v>
      </c>
      <c r="C18" s="12">
        <v>137.0</v>
      </c>
      <c r="D18" s="12">
        <v>424.0</v>
      </c>
      <c r="E18" s="12">
        <v>473.0</v>
      </c>
      <c r="F18" s="12">
        <v>296.0</v>
      </c>
      <c r="G18" s="26">
        <v>65.0</v>
      </c>
      <c r="I18" s="12">
        <v>53.0</v>
      </c>
    </row>
    <row r="19">
      <c r="A19" s="8">
        <v>17.0</v>
      </c>
      <c r="B19" s="12">
        <v>28.0</v>
      </c>
      <c r="C19" s="12">
        <v>155.0</v>
      </c>
      <c r="D19" s="12">
        <v>451.0</v>
      </c>
      <c r="E19" s="12">
        <v>475.0</v>
      </c>
      <c r="F19" s="12">
        <v>280.0</v>
      </c>
      <c r="G19" s="26">
        <v>41.0</v>
      </c>
      <c r="I19" s="12">
        <v>40.0</v>
      </c>
    </row>
    <row r="20">
      <c r="A20" s="8">
        <v>18.0</v>
      </c>
      <c r="B20" s="12">
        <v>17.0</v>
      </c>
      <c r="C20" s="12">
        <v>136.0</v>
      </c>
      <c r="D20" s="12">
        <v>469.0</v>
      </c>
      <c r="E20" s="12">
        <v>464.0</v>
      </c>
      <c r="F20" s="12">
        <v>291.0</v>
      </c>
      <c r="G20" s="26">
        <v>37.0</v>
      </c>
      <c r="H20" s="12">
        <v>2.0</v>
      </c>
      <c r="I20" s="12">
        <v>47.0</v>
      </c>
    </row>
    <row r="21">
      <c r="A21" s="8">
        <v>19.0</v>
      </c>
      <c r="B21" s="12">
        <v>32.0</v>
      </c>
      <c r="C21" s="12">
        <v>141.0</v>
      </c>
      <c r="D21" s="12">
        <v>487.0</v>
      </c>
      <c r="E21" s="12">
        <v>298.0</v>
      </c>
      <c r="F21" s="12">
        <v>497.0</v>
      </c>
      <c r="G21" s="26">
        <v>18.0</v>
      </c>
      <c r="I21" s="12">
        <v>34.0</v>
      </c>
    </row>
    <row r="22">
      <c r="A22" s="8">
        <v>20.0</v>
      </c>
      <c r="B22" s="12">
        <v>19.0</v>
      </c>
      <c r="C22" s="12">
        <v>159.0</v>
      </c>
      <c r="D22" s="12">
        <v>474.0</v>
      </c>
      <c r="E22" s="12">
        <v>494.0</v>
      </c>
      <c r="F22" s="12">
        <v>262.0</v>
      </c>
      <c r="G22" s="26">
        <v>37.0</v>
      </c>
      <c r="H22" s="12">
        <v>1.0</v>
      </c>
      <c r="I22" s="12">
        <v>38.0</v>
      </c>
    </row>
    <row r="23">
      <c r="A23" s="8">
        <v>21.0</v>
      </c>
      <c r="B23" s="12">
        <v>31.0</v>
      </c>
      <c r="C23" s="12">
        <v>147.0</v>
      </c>
      <c r="D23" s="12">
        <v>486.0</v>
      </c>
      <c r="E23" s="12">
        <v>441.0</v>
      </c>
      <c r="F23" s="12">
        <v>311.0</v>
      </c>
      <c r="G23" s="26">
        <v>28.0</v>
      </c>
      <c r="I23" s="12">
        <v>48.0</v>
      </c>
    </row>
    <row r="26">
      <c r="A26" s="24" t="s">
        <v>15</v>
      </c>
      <c r="B26" s="27" t="s">
        <v>25</v>
      </c>
    </row>
    <row r="27"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</row>
    <row r="28">
      <c r="A28" s="8">
        <v>1.0</v>
      </c>
      <c r="B28" s="12">
        <v>6.0</v>
      </c>
      <c r="C28" s="12">
        <v>4.0</v>
      </c>
      <c r="D28" s="12">
        <v>34.0</v>
      </c>
      <c r="E28" s="12">
        <v>427.0</v>
      </c>
      <c r="F28" s="12">
        <v>619.0</v>
      </c>
      <c r="G28" s="12">
        <v>340.0</v>
      </c>
      <c r="H28" s="12">
        <v>14.0</v>
      </c>
      <c r="I28" s="12">
        <v>45.0</v>
      </c>
    </row>
    <row r="29">
      <c r="A29" s="8">
        <v>2.0</v>
      </c>
      <c r="B29" s="12">
        <v>8.0</v>
      </c>
      <c r="C29" s="12">
        <v>7.0</v>
      </c>
      <c r="D29" s="12">
        <v>39.0</v>
      </c>
      <c r="E29" s="12">
        <v>476.0</v>
      </c>
      <c r="F29" s="12">
        <v>716.0</v>
      </c>
      <c r="G29" s="12">
        <v>234.0</v>
      </c>
      <c r="I29" s="12">
        <v>40.0</v>
      </c>
    </row>
    <row r="30">
      <c r="A30" s="8">
        <v>3.0</v>
      </c>
      <c r="B30" s="12">
        <v>11.0</v>
      </c>
      <c r="C30" s="12">
        <v>14.0</v>
      </c>
      <c r="D30" s="12">
        <v>98.0</v>
      </c>
      <c r="E30" s="12">
        <v>461.0</v>
      </c>
      <c r="F30" s="12">
        <v>619.0</v>
      </c>
      <c r="G30" s="12">
        <v>259.0</v>
      </c>
      <c r="H30" s="12">
        <v>1.0</v>
      </c>
      <c r="I30" s="12">
        <v>43.0</v>
      </c>
    </row>
    <row r="31">
      <c r="A31" s="8">
        <v>4.0</v>
      </c>
      <c r="B31" s="12">
        <v>13.0</v>
      </c>
      <c r="C31" s="12">
        <v>17.0</v>
      </c>
      <c r="D31" s="12">
        <v>87.0</v>
      </c>
      <c r="E31" s="12">
        <v>496.0</v>
      </c>
      <c r="F31" s="12">
        <v>667.0</v>
      </c>
      <c r="G31" s="12">
        <v>183.0</v>
      </c>
      <c r="I31" s="12">
        <v>36.0</v>
      </c>
    </row>
    <row r="32">
      <c r="A32" s="8">
        <v>5.0</v>
      </c>
      <c r="B32" s="12">
        <v>8.0</v>
      </c>
      <c r="C32" s="12">
        <v>17.0</v>
      </c>
      <c r="D32" s="12">
        <v>93.0</v>
      </c>
      <c r="E32" s="12">
        <v>509.0</v>
      </c>
      <c r="F32" s="12">
        <v>657.0</v>
      </c>
      <c r="G32" s="12">
        <v>158.0</v>
      </c>
      <c r="I32" s="12">
        <v>43.0</v>
      </c>
    </row>
    <row r="33">
      <c r="A33" s="8">
        <v>6.0</v>
      </c>
      <c r="B33" s="12">
        <v>5.0</v>
      </c>
      <c r="C33" s="12">
        <v>19.0</v>
      </c>
      <c r="D33" s="12">
        <v>118.0</v>
      </c>
      <c r="E33" s="12">
        <v>454.0</v>
      </c>
      <c r="F33" s="12">
        <v>582.0</v>
      </c>
      <c r="G33" s="12">
        <v>177.0</v>
      </c>
      <c r="H33" s="12">
        <v>34.0</v>
      </c>
      <c r="I33" s="12">
        <v>53.0</v>
      </c>
    </row>
    <row r="34">
      <c r="A34" s="8">
        <v>7.0</v>
      </c>
      <c r="B34" s="12">
        <v>7.0</v>
      </c>
      <c r="C34" s="12">
        <v>14.0</v>
      </c>
      <c r="D34" s="12">
        <v>73.0</v>
      </c>
      <c r="E34" s="12">
        <v>408.0</v>
      </c>
      <c r="F34" s="12">
        <v>726.0</v>
      </c>
      <c r="G34" s="12">
        <v>186.0</v>
      </c>
      <c r="I34" s="12">
        <v>56.0</v>
      </c>
    </row>
    <row r="35">
      <c r="A35" s="8">
        <v>8.0</v>
      </c>
      <c r="B35" s="12">
        <v>4.0</v>
      </c>
      <c r="C35" s="12">
        <v>8.0</v>
      </c>
      <c r="D35" s="12">
        <v>91.0</v>
      </c>
      <c r="E35" s="12">
        <v>403.0</v>
      </c>
      <c r="F35" s="12">
        <v>814.0</v>
      </c>
      <c r="G35" s="12">
        <v>126.0</v>
      </c>
      <c r="H35" s="12">
        <v>1.0</v>
      </c>
      <c r="I35" s="12">
        <v>46.0</v>
      </c>
    </row>
    <row r="36">
      <c r="A36" s="8">
        <v>9.0</v>
      </c>
      <c r="B36" s="12">
        <v>10.0</v>
      </c>
      <c r="C36" s="12">
        <v>9.0</v>
      </c>
      <c r="D36" s="12">
        <v>78.0</v>
      </c>
      <c r="E36" s="12">
        <v>391.0</v>
      </c>
      <c r="F36" s="12">
        <v>726.0</v>
      </c>
      <c r="G36" s="12">
        <v>240.0</v>
      </c>
      <c r="H36" s="12">
        <v>3.0</v>
      </c>
      <c r="I36" s="12">
        <v>43.0</v>
      </c>
    </row>
    <row r="37">
      <c r="A37" s="8">
        <v>10.0</v>
      </c>
      <c r="B37" s="12">
        <v>20.0</v>
      </c>
      <c r="C37" s="12">
        <v>43.0</v>
      </c>
      <c r="D37" s="12">
        <v>169.0</v>
      </c>
      <c r="E37" s="12">
        <v>429.0</v>
      </c>
      <c r="F37" s="12">
        <v>700.0</v>
      </c>
      <c r="G37" s="12">
        <v>78.0</v>
      </c>
      <c r="I37" s="12">
        <v>75.0</v>
      </c>
    </row>
    <row r="38">
      <c r="A38" s="8">
        <v>11.0</v>
      </c>
      <c r="B38" s="12">
        <v>6.0</v>
      </c>
      <c r="C38" s="12">
        <v>11.0</v>
      </c>
      <c r="D38" s="12">
        <v>97.0</v>
      </c>
      <c r="E38" s="12">
        <v>429.0</v>
      </c>
      <c r="F38" s="26">
        <v>795.0</v>
      </c>
      <c r="G38" s="12">
        <v>63.0</v>
      </c>
      <c r="H38" s="12">
        <v>2.0</v>
      </c>
      <c r="I38" s="12">
        <v>67.0</v>
      </c>
    </row>
    <row r="39">
      <c r="A39" s="8">
        <v>12.0</v>
      </c>
      <c r="B39" s="12">
        <v>9.0</v>
      </c>
      <c r="C39" s="12">
        <v>15.0</v>
      </c>
      <c r="D39" s="12">
        <v>119.0</v>
      </c>
      <c r="E39" s="12">
        <v>497.0</v>
      </c>
      <c r="F39" s="26">
        <v>775.0</v>
      </c>
      <c r="G39" s="12">
        <v>31.0</v>
      </c>
      <c r="I39" s="12">
        <v>74.0</v>
      </c>
    </row>
    <row r="40">
      <c r="A40" s="8">
        <v>13.0</v>
      </c>
      <c r="B40" s="12">
        <v>10.0</v>
      </c>
      <c r="C40" s="12">
        <v>12.0</v>
      </c>
      <c r="D40" s="12">
        <v>128.0</v>
      </c>
      <c r="E40" s="12">
        <v>453.0</v>
      </c>
      <c r="F40" s="26">
        <v>805.0</v>
      </c>
      <c r="G40" s="12">
        <v>70.0</v>
      </c>
      <c r="I40" s="12">
        <v>55.0</v>
      </c>
    </row>
    <row r="41">
      <c r="A41" s="8">
        <v>14.0</v>
      </c>
      <c r="B41" s="12">
        <v>11.0</v>
      </c>
      <c r="C41" s="12">
        <v>11.0</v>
      </c>
      <c r="D41" s="12">
        <v>183.0</v>
      </c>
      <c r="E41" s="12">
        <v>471.0</v>
      </c>
      <c r="F41" s="26">
        <v>722.0</v>
      </c>
      <c r="G41" s="12">
        <v>101.0</v>
      </c>
      <c r="I41" s="12">
        <v>65.0</v>
      </c>
    </row>
    <row r="42">
      <c r="A42" s="8">
        <v>15.0</v>
      </c>
      <c r="B42" s="12">
        <v>7.0</v>
      </c>
      <c r="C42" s="12">
        <v>8.0</v>
      </c>
      <c r="D42" s="12">
        <v>181.0</v>
      </c>
      <c r="E42" s="12">
        <v>487.0</v>
      </c>
      <c r="F42" s="26">
        <v>712.0</v>
      </c>
      <c r="G42" s="12">
        <v>83.0</v>
      </c>
      <c r="I42" s="12">
        <v>52.0</v>
      </c>
    </row>
    <row r="43">
      <c r="A43" s="8">
        <v>16.0</v>
      </c>
      <c r="B43" s="12">
        <v>16.0</v>
      </c>
      <c r="C43" s="12">
        <v>22.0</v>
      </c>
      <c r="D43" s="12">
        <v>184.0</v>
      </c>
      <c r="E43" s="12">
        <v>524.0</v>
      </c>
      <c r="F43" s="26">
        <v>685.0</v>
      </c>
      <c r="G43" s="12">
        <v>91.0</v>
      </c>
      <c r="H43" s="12">
        <v>1.0</v>
      </c>
      <c r="I43" s="12">
        <v>49.0</v>
      </c>
    </row>
    <row r="44">
      <c r="A44" s="8">
        <v>17.0</v>
      </c>
      <c r="B44" s="12">
        <v>7.0</v>
      </c>
      <c r="C44" s="12">
        <v>29.0</v>
      </c>
      <c r="D44" s="12">
        <v>172.0</v>
      </c>
      <c r="E44" s="12">
        <v>524.0</v>
      </c>
      <c r="F44" s="26">
        <v>677.0</v>
      </c>
      <c r="G44" s="12">
        <v>67.0</v>
      </c>
      <c r="I44" s="12">
        <v>48.0</v>
      </c>
    </row>
    <row r="45">
      <c r="A45" s="8">
        <v>18.0</v>
      </c>
      <c r="B45" s="12">
        <v>13.0</v>
      </c>
      <c r="C45" s="12">
        <v>17.0</v>
      </c>
      <c r="D45" s="12">
        <v>182.0</v>
      </c>
      <c r="E45" s="12">
        <v>526.0</v>
      </c>
      <c r="F45" s="26">
        <v>703.0</v>
      </c>
      <c r="G45" s="12">
        <v>57.0</v>
      </c>
      <c r="I45" s="12">
        <v>37.0</v>
      </c>
    </row>
    <row r="46">
      <c r="A46" s="8">
        <v>19.0</v>
      </c>
      <c r="B46" s="12">
        <v>12.0</v>
      </c>
      <c r="C46" s="12">
        <v>28.0</v>
      </c>
      <c r="D46" s="12">
        <v>177.0</v>
      </c>
      <c r="E46" s="12">
        <v>527.0</v>
      </c>
      <c r="F46" s="26">
        <v>712.0</v>
      </c>
      <c r="G46" s="12">
        <v>69.0</v>
      </c>
      <c r="I46" s="12">
        <v>20.0</v>
      </c>
    </row>
    <row r="47">
      <c r="A47" s="8">
        <v>20.0</v>
      </c>
      <c r="B47" s="12">
        <v>9.0</v>
      </c>
      <c r="C47" s="12">
        <v>37.0</v>
      </c>
      <c r="D47" s="12">
        <v>211.0</v>
      </c>
      <c r="E47" s="12">
        <v>531.0</v>
      </c>
      <c r="F47" s="26">
        <v>620.0</v>
      </c>
      <c r="G47" s="12">
        <v>120.0</v>
      </c>
      <c r="I47" s="12">
        <v>36.0</v>
      </c>
    </row>
    <row r="48">
      <c r="A48" s="8">
        <v>21.0</v>
      </c>
      <c r="B48" s="12">
        <v>18.0</v>
      </c>
      <c r="C48" s="12">
        <v>27.0</v>
      </c>
      <c r="D48" s="12">
        <v>177.0</v>
      </c>
      <c r="E48" s="12">
        <v>531.0</v>
      </c>
      <c r="F48" s="26">
        <v>642.0</v>
      </c>
      <c r="G48" s="12">
        <v>118.0</v>
      </c>
      <c r="I48" s="12">
        <v>19.0</v>
      </c>
    </row>
    <row r="49">
      <c r="A49" s="8">
        <v>22.0</v>
      </c>
      <c r="B49" s="12">
        <v>15.0</v>
      </c>
      <c r="C49" s="12">
        <v>25.0</v>
      </c>
      <c r="D49" s="12">
        <v>201.0</v>
      </c>
      <c r="E49" s="12">
        <v>557.0</v>
      </c>
      <c r="F49" s="28">
        <v>663.0</v>
      </c>
      <c r="G49" s="12">
        <v>96.0</v>
      </c>
      <c r="I49" s="12">
        <v>29.0</v>
      </c>
    </row>
    <row r="51">
      <c r="A51" s="24" t="s">
        <v>15</v>
      </c>
      <c r="B51" s="29" t="s">
        <v>26</v>
      </c>
    </row>
    <row r="52"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</row>
    <row r="53">
      <c r="A53" s="8">
        <v>1.0</v>
      </c>
      <c r="B53" s="12">
        <v>31.0</v>
      </c>
      <c r="C53" s="12">
        <v>119.0</v>
      </c>
      <c r="D53" s="12">
        <v>301.0</v>
      </c>
      <c r="E53" s="12">
        <v>341.0</v>
      </c>
      <c r="F53" s="12">
        <v>158.0</v>
      </c>
      <c r="G53" s="12">
        <v>26.0</v>
      </c>
      <c r="H53" s="12">
        <v>9.0</v>
      </c>
      <c r="I53" s="12">
        <v>54.0</v>
      </c>
    </row>
    <row r="54">
      <c r="A54" s="8">
        <v>2.0</v>
      </c>
      <c r="B54" s="12">
        <v>33.0</v>
      </c>
      <c r="C54" s="12">
        <v>132.0</v>
      </c>
      <c r="D54" s="12">
        <v>317.0</v>
      </c>
      <c r="E54" s="12">
        <v>327.0</v>
      </c>
      <c r="F54" s="12">
        <v>149.0</v>
      </c>
      <c r="G54" s="12">
        <v>22.0</v>
      </c>
      <c r="I54" s="12">
        <v>49.0</v>
      </c>
    </row>
    <row r="55">
      <c r="A55" s="8">
        <v>3.0</v>
      </c>
      <c r="B55" s="12">
        <v>31.0</v>
      </c>
      <c r="C55" s="12">
        <v>128.0</v>
      </c>
      <c r="D55" s="12">
        <v>347.0</v>
      </c>
      <c r="E55" s="12">
        <v>324.0</v>
      </c>
      <c r="F55" s="12">
        <v>141.0</v>
      </c>
      <c r="G55" s="12">
        <v>29.0</v>
      </c>
      <c r="H55" s="12">
        <v>3.0</v>
      </c>
      <c r="I55" s="12">
        <v>47.0</v>
      </c>
    </row>
    <row r="56">
      <c r="A56" s="8">
        <v>4.0</v>
      </c>
      <c r="B56" s="12">
        <v>36.0</v>
      </c>
      <c r="C56" s="12">
        <v>162.0</v>
      </c>
      <c r="D56" s="12">
        <v>339.0</v>
      </c>
      <c r="E56" s="12">
        <v>305.0</v>
      </c>
      <c r="F56" s="12">
        <v>141.0</v>
      </c>
      <c r="G56" s="12">
        <v>22.0</v>
      </c>
      <c r="H56" s="12">
        <v>1.0</v>
      </c>
      <c r="I56" s="12">
        <v>39.0</v>
      </c>
    </row>
    <row r="57">
      <c r="A57" s="8">
        <v>5.0</v>
      </c>
      <c r="B57" s="12">
        <v>38.0</v>
      </c>
      <c r="C57" s="12">
        <v>145.0</v>
      </c>
      <c r="D57" s="12">
        <v>317.0</v>
      </c>
      <c r="E57" s="12">
        <v>312.0</v>
      </c>
      <c r="F57" s="12">
        <v>139.0</v>
      </c>
      <c r="G57" s="12">
        <v>27.0</v>
      </c>
      <c r="I57" s="12">
        <v>57.0</v>
      </c>
    </row>
    <row r="58">
      <c r="A58" s="8">
        <v>6.0</v>
      </c>
      <c r="B58" s="12">
        <v>46.0</v>
      </c>
      <c r="C58" s="12">
        <v>153.0</v>
      </c>
      <c r="D58" s="12">
        <v>365.0</v>
      </c>
      <c r="E58" s="12">
        <v>292.0</v>
      </c>
      <c r="F58" s="12">
        <v>137.0</v>
      </c>
      <c r="G58" s="12">
        <v>7.0</v>
      </c>
      <c r="I58" s="12">
        <v>40.0</v>
      </c>
    </row>
    <row r="59">
      <c r="A59" s="8">
        <v>7.0</v>
      </c>
      <c r="B59" s="12">
        <v>12.0</v>
      </c>
      <c r="C59" s="12">
        <v>106.0</v>
      </c>
      <c r="D59" s="12">
        <v>309.0</v>
      </c>
      <c r="E59" s="12">
        <v>317.0</v>
      </c>
      <c r="F59" s="12">
        <v>194.0</v>
      </c>
      <c r="G59" s="12">
        <v>25.0</v>
      </c>
      <c r="H59" s="12">
        <v>2.0</v>
      </c>
      <c r="I59" s="12">
        <v>54.0</v>
      </c>
    </row>
    <row r="60">
      <c r="A60" s="8">
        <v>8.0</v>
      </c>
      <c r="B60" s="12">
        <v>25.0</v>
      </c>
      <c r="C60" s="12">
        <v>106.0</v>
      </c>
      <c r="D60" s="12">
        <v>309.0</v>
      </c>
      <c r="E60" s="12">
        <v>301.0</v>
      </c>
      <c r="F60" s="12">
        <v>177.0</v>
      </c>
      <c r="G60" s="12">
        <v>13.0</v>
      </c>
      <c r="I60" s="12">
        <v>67.0</v>
      </c>
    </row>
    <row r="61">
      <c r="A61" s="8">
        <v>9.0</v>
      </c>
      <c r="B61" s="12">
        <v>40.0</v>
      </c>
      <c r="C61" s="12">
        <v>107.0</v>
      </c>
      <c r="D61" s="12">
        <v>279.0</v>
      </c>
      <c r="E61" s="12">
        <v>271.0</v>
      </c>
      <c r="F61" s="12">
        <v>171.0</v>
      </c>
      <c r="G61" s="12">
        <v>13.0</v>
      </c>
      <c r="H61" s="12">
        <v>1.0</v>
      </c>
      <c r="I61" s="12">
        <v>89.0</v>
      </c>
    </row>
    <row r="62">
      <c r="A62" s="8">
        <v>10.0</v>
      </c>
      <c r="B62" s="12">
        <v>20.0</v>
      </c>
      <c r="C62" s="12">
        <v>63.0</v>
      </c>
      <c r="D62" s="12">
        <v>200.0</v>
      </c>
      <c r="E62" s="12">
        <v>280.0</v>
      </c>
      <c r="F62" s="12">
        <v>300.0</v>
      </c>
      <c r="G62" s="12">
        <v>37.0</v>
      </c>
      <c r="I62" s="12">
        <v>60.0</v>
      </c>
    </row>
    <row r="63">
      <c r="A63" s="8">
        <v>11.0</v>
      </c>
      <c r="B63" s="12">
        <v>23.0</v>
      </c>
      <c r="C63" s="12">
        <v>86.0</v>
      </c>
      <c r="D63" s="12">
        <v>279.0</v>
      </c>
      <c r="E63" s="12">
        <v>282.0</v>
      </c>
      <c r="F63" s="12">
        <v>166.0</v>
      </c>
      <c r="G63" s="12">
        <v>18.0</v>
      </c>
      <c r="I63" s="12">
        <v>110.0</v>
      </c>
    </row>
    <row r="64">
      <c r="A64" s="8">
        <v>12.0</v>
      </c>
      <c r="B64" s="12">
        <v>18.0</v>
      </c>
      <c r="C64" s="12">
        <v>77.0</v>
      </c>
      <c r="D64" s="12">
        <v>279.0</v>
      </c>
      <c r="E64" s="12">
        <v>289.0</v>
      </c>
      <c r="F64" s="12">
        <v>176.0</v>
      </c>
      <c r="G64" s="12">
        <v>12.0</v>
      </c>
      <c r="I64" s="12">
        <v>105.0</v>
      </c>
    </row>
    <row r="65">
      <c r="A65" s="8">
        <v>13.0</v>
      </c>
      <c r="B65" s="12">
        <v>24.0</v>
      </c>
      <c r="C65" s="12">
        <v>77.0</v>
      </c>
      <c r="D65" s="12">
        <v>268.0</v>
      </c>
      <c r="E65" s="12">
        <v>282.0</v>
      </c>
      <c r="F65" s="12">
        <v>176.0</v>
      </c>
      <c r="G65" s="12">
        <v>10.0</v>
      </c>
      <c r="I65" s="12">
        <v>99.0</v>
      </c>
    </row>
    <row r="66">
      <c r="A66" s="8">
        <v>14.0</v>
      </c>
      <c r="B66" s="12">
        <v>27.0</v>
      </c>
      <c r="C66" s="12">
        <v>103.0</v>
      </c>
      <c r="D66" s="12">
        <v>271.0</v>
      </c>
      <c r="E66" s="12">
        <v>243.0</v>
      </c>
      <c r="F66" s="12">
        <v>157.0</v>
      </c>
      <c r="G66" s="12">
        <v>20.0</v>
      </c>
      <c r="I66" s="12">
        <v>90.0</v>
      </c>
    </row>
    <row r="67">
      <c r="A67" s="8">
        <v>15.0</v>
      </c>
      <c r="B67" s="12">
        <v>30.0</v>
      </c>
      <c r="C67" s="12">
        <v>124.0</v>
      </c>
      <c r="D67" s="12">
        <v>249.0</v>
      </c>
      <c r="E67" s="12">
        <v>251.0</v>
      </c>
      <c r="F67" s="12">
        <v>168.0</v>
      </c>
      <c r="G67" s="12">
        <v>20.0</v>
      </c>
      <c r="H67" s="12">
        <v>1.0</v>
      </c>
      <c r="I67" s="12">
        <v>77.0</v>
      </c>
    </row>
    <row r="68">
      <c r="A68" s="8">
        <v>16.0</v>
      </c>
      <c r="B68" s="12">
        <v>24.0</v>
      </c>
      <c r="C68" s="12">
        <v>106.0</v>
      </c>
      <c r="D68" s="12">
        <v>262.0</v>
      </c>
      <c r="E68" s="12">
        <v>254.0</v>
      </c>
      <c r="F68" s="12">
        <v>151.0</v>
      </c>
      <c r="G68" s="12">
        <v>20.0</v>
      </c>
      <c r="H68" s="12">
        <v>2.0</v>
      </c>
      <c r="I68" s="12">
        <v>83.0</v>
      </c>
    </row>
    <row r="69">
      <c r="A69" s="8">
        <v>17.0</v>
      </c>
      <c r="B69" s="12">
        <v>23.0</v>
      </c>
      <c r="C69" s="12">
        <v>101.0</v>
      </c>
      <c r="D69" s="12">
        <v>258.0</v>
      </c>
      <c r="E69" s="12">
        <v>275.0</v>
      </c>
      <c r="F69" s="12">
        <v>175.0</v>
      </c>
      <c r="G69" s="12">
        <v>18.0</v>
      </c>
      <c r="I69" s="12">
        <v>50.0</v>
      </c>
    </row>
    <row r="70">
      <c r="A70" s="8">
        <v>18.0</v>
      </c>
      <c r="B70" s="12">
        <v>30.0</v>
      </c>
      <c r="C70" s="12">
        <v>93.0</v>
      </c>
      <c r="D70" s="12">
        <v>267.0</v>
      </c>
      <c r="E70" s="12">
        <v>276.0</v>
      </c>
      <c r="F70" s="12">
        <v>153.0</v>
      </c>
      <c r="G70" s="12">
        <v>15.0</v>
      </c>
      <c r="H70" s="12">
        <v>2.0</v>
      </c>
      <c r="I70" s="12">
        <v>41.0</v>
      </c>
    </row>
    <row r="71">
      <c r="A71" s="8">
        <v>19.0</v>
      </c>
      <c r="B71" s="12">
        <v>37.0</v>
      </c>
      <c r="C71" s="12">
        <v>99.0</v>
      </c>
      <c r="D71" s="12">
        <v>287.0</v>
      </c>
      <c r="E71" s="12">
        <v>253.0</v>
      </c>
      <c r="F71" s="12">
        <v>168.0</v>
      </c>
      <c r="G71" s="12">
        <v>16.0</v>
      </c>
      <c r="H71" s="12">
        <v>2.0</v>
      </c>
      <c r="I71" s="12">
        <v>42.0</v>
      </c>
    </row>
    <row r="72">
      <c r="A72" s="8">
        <v>20.0</v>
      </c>
      <c r="B72" s="12">
        <v>26.0</v>
      </c>
      <c r="C72" s="12">
        <v>130.0</v>
      </c>
      <c r="D72" s="12">
        <v>332.0</v>
      </c>
      <c r="E72" s="12">
        <v>245.0</v>
      </c>
      <c r="F72" s="12">
        <v>161.0</v>
      </c>
      <c r="G72" s="12">
        <v>14.0</v>
      </c>
      <c r="I72" s="12">
        <v>50.0</v>
      </c>
    </row>
    <row r="73">
      <c r="A73" s="8">
        <v>21.0</v>
      </c>
      <c r="B73" s="12">
        <v>28.0</v>
      </c>
      <c r="C73" s="12">
        <v>84.0</v>
      </c>
      <c r="D73" s="12">
        <v>271.0</v>
      </c>
      <c r="E73" s="12">
        <v>293.0</v>
      </c>
      <c r="F73" s="12">
        <v>163.0</v>
      </c>
      <c r="G73" s="12">
        <v>22.0</v>
      </c>
      <c r="H73" s="12">
        <v>1.0</v>
      </c>
      <c r="I73" s="12">
        <v>61.0</v>
      </c>
    </row>
    <row r="74">
      <c r="A74" s="8">
        <v>22.0</v>
      </c>
      <c r="B74" s="12">
        <v>31.0</v>
      </c>
      <c r="C74" s="12">
        <v>83.0</v>
      </c>
      <c r="D74" s="12">
        <v>293.0</v>
      </c>
      <c r="E74" s="12">
        <v>249.0</v>
      </c>
      <c r="F74" s="12">
        <v>166.0</v>
      </c>
      <c r="G74" s="12">
        <v>28.0</v>
      </c>
      <c r="H74" s="12">
        <v>1.0</v>
      </c>
      <c r="I74" s="12">
        <v>74.0</v>
      </c>
    </row>
  </sheetData>
  <mergeCells count="6">
    <mergeCell ref="A1:A2"/>
    <mergeCell ref="B1:I1"/>
    <mergeCell ref="A26:A27"/>
    <mergeCell ref="B26:I26"/>
    <mergeCell ref="A51:A52"/>
    <mergeCell ref="B51:I5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24" t="s">
        <v>15</v>
      </c>
      <c r="B1" s="25" t="s">
        <v>16</v>
      </c>
    </row>
    <row r="2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4"/>
    </row>
    <row r="3">
      <c r="A3" s="8">
        <v>1.0</v>
      </c>
      <c r="B3" s="12">
        <v>37.0</v>
      </c>
      <c r="C3" s="12">
        <v>252.0</v>
      </c>
      <c r="D3" s="12">
        <v>559.0</v>
      </c>
      <c r="E3" s="12">
        <v>857.0</v>
      </c>
      <c r="F3" s="12">
        <v>117.0</v>
      </c>
      <c r="I3" s="12">
        <v>44.0</v>
      </c>
    </row>
    <row r="4">
      <c r="A4" s="8">
        <v>2.0</v>
      </c>
      <c r="B4" s="12">
        <v>47.0</v>
      </c>
      <c r="C4" s="12">
        <v>224.0</v>
      </c>
      <c r="D4" s="12">
        <v>547.0</v>
      </c>
      <c r="E4" s="12">
        <v>863.0</v>
      </c>
      <c r="F4" s="12">
        <v>108.0</v>
      </c>
      <c r="G4" s="12">
        <v>1.0</v>
      </c>
      <c r="I4" s="12">
        <v>32.0</v>
      </c>
    </row>
    <row r="5">
      <c r="A5" s="8">
        <v>3.0</v>
      </c>
      <c r="B5" s="12">
        <v>35.0</v>
      </c>
      <c r="C5" s="12">
        <v>268.0</v>
      </c>
      <c r="D5" s="12">
        <v>571.0</v>
      </c>
      <c r="E5" s="12">
        <v>822.0</v>
      </c>
      <c r="F5" s="12">
        <v>143.0</v>
      </c>
      <c r="I5" s="12">
        <v>12.0</v>
      </c>
    </row>
    <row r="6">
      <c r="A6" s="8">
        <v>4.0</v>
      </c>
      <c r="B6" s="12">
        <v>33.0</v>
      </c>
      <c r="C6" s="12">
        <v>240.0</v>
      </c>
      <c r="D6" s="12">
        <v>534.0</v>
      </c>
      <c r="E6" s="12">
        <v>892.0</v>
      </c>
      <c r="F6" s="12">
        <v>158.0</v>
      </c>
      <c r="I6" s="12">
        <v>5.0</v>
      </c>
    </row>
    <row r="7">
      <c r="A7" s="8">
        <v>5.0</v>
      </c>
      <c r="B7" s="12">
        <v>26.0</v>
      </c>
      <c r="C7" s="12">
        <v>300.0</v>
      </c>
      <c r="D7" s="12">
        <v>621.0</v>
      </c>
      <c r="E7" s="12">
        <v>641.0</v>
      </c>
      <c r="F7" s="12">
        <v>96.0</v>
      </c>
      <c r="I7" s="12">
        <v>17.0</v>
      </c>
    </row>
    <row r="8">
      <c r="A8" s="8">
        <v>6.0</v>
      </c>
      <c r="B8" s="12">
        <v>38.0</v>
      </c>
      <c r="C8" s="12">
        <v>300.0</v>
      </c>
      <c r="D8" s="12">
        <v>610.0</v>
      </c>
      <c r="E8" s="12">
        <v>658.0</v>
      </c>
      <c r="F8" s="12">
        <v>74.0</v>
      </c>
      <c r="G8" s="12">
        <v>1.0</v>
      </c>
      <c r="H8" s="12">
        <v>2.0</v>
      </c>
      <c r="I8" s="12">
        <v>9.0</v>
      </c>
    </row>
    <row r="9">
      <c r="A9" s="8">
        <v>7.0</v>
      </c>
      <c r="B9" s="12">
        <v>43.0</v>
      </c>
      <c r="C9" s="12">
        <v>338.0</v>
      </c>
      <c r="D9" s="12">
        <v>660.0</v>
      </c>
      <c r="E9" s="12">
        <v>718.0</v>
      </c>
      <c r="F9" s="12">
        <v>116.0</v>
      </c>
      <c r="G9" s="12">
        <v>3.0</v>
      </c>
      <c r="H9" s="12">
        <v>1.0</v>
      </c>
      <c r="I9" s="12">
        <v>13.0</v>
      </c>
    </row>
    <row r="10">
      <c r="A10" s="8">
        <v>8.0</v>
      </c>
      <c r="B10" s="12">
        <v>59.0</v>
      </c>
      <c r="C10" s="12">
        <v>264.0</v>
      </c>
      <c r="D10" s="12">
        <v>624.0</v>
      </c>
      <c r="E10" s="12">
        <v>789.0</v>
      </c>
      <c r="F10" s="12">
        <v>104.0</v>
      </c>
      <c r="G10" s="12">
        <v>1.0</v>
      </c>
      <c r="I10" s="12">
        <v>19.0</v>
      </c>
    </row>
    <row r="11">
      <c r="A11" s="8">
        <v>9.0</v>
      </c>
      <c r="B11" s="12">
        <v>54.0</v>
      </c>
      <c r="C11" s="12">
        <v>273.0</v>
      </c>
      <c r="D11" s="12">
        <v>609.0</v>
      </c>
      <c r="E11" s="12">
        <v>784.0</v>
      </c>
      <c r="F11" s="12">
        <v>102.0</v>
      </c>
      <c r="I11" s="12">
        <v>19.0</v>
      </c>
    </row>
    <row r="12">
      <c r="A12" s="8">
        <v>10.0</v>
      </c>
      <c r="B12" s="12">
        <v>49.0</v>
      </c>
      <c r="C12" s="12">
        <v>259.0</v>
      </c>
      <c r="D12" s="12">
        <v>594.0</v>
      </c>
      <c r="E12" s="12">
        <v>723.0</v>
      </c>
      <c r="F12" s="12">
        <v>65.0</v>
      </c>
      <c r="I12" s="12">
        <v>18.0</v>
      </c>
    </row>
    <row r="13">
      <c r="A13" s="8">
        <v>11.0</v>
      </c>
      <c r="B13" s="12">
        <v>33.0</v>
      </c>
      <c r="C13" s="12">
        <v>208.0</v>
      </c>
      <c r="D13" s="12">
        <v>602.0</v>
      </c>
      <c r="E13" s="12">
        <v>863.0</v>
      </c>
      <c r="F13" s="12">
        <v>137.0</v>
      </c>
      <c r="G13" s="26"/>
      <c r="I13" s="12">
        <v>15.0</v>
      </c>
    </row>
    <row r="14">
      <c r="A14" s="8">
        <v>12.0</v>
      </c>
      <c r="B14" s="12">
        <v>51.0</v>
      </c>
      <c r="C14" s="12">
        <v>251.0</v>
      </c>
      <c r="D14" s="12">
        <v>852.0</v>
      </c>
      <c r="E14" s="12">
        <v>555.0</v>
      </c>
      <c r="F14" s="12">
        <v>111.0</v>
      </c>
      <c r="G14" s="26"/>
      <c r="H14" s="12">
        <v>1.0</v>
      </c>
      <c r="I14" s="12">
        <v>6.0</v>
      </c>
    </row>
    <row r="15">
      <c r="A15" s="8">
        <v>13.0</v>
      </c>
      <c r="B15" s="12">
        <v>23.0</v>
      </c>
      <c r="C15" s="12">
        <v>221.0</v>
      </c>
      <c r="D15" s="12">
        <v>657.0</v>
      </c>
      <c r="E15" s="12">
        <v>799.0</v>
      </c>
      <c r="F15" s="12">
        <v>135.0</v>
      </c>
      <c r="G15" s="28">
        <v>2.0</v>
      </c>
      <c r="I15" s="12">
        <v>24.0</v>
      </c>
    </row>
    <row r="16">
      <c r="A16" s="8">
        <v>14.0</v>
      </c>
      <c r="B16" s="12">
        <v>62.0</v>
      </c>
      <c r="C16" s="12">
        <v>325.0</v>
      </c>
      <c r="D16" s="12">
        <v>607.0</v>
      </c>
      <c r="E16" s="12">
        <v>779.0</v>
      </c>
      <c r="F16" s="12">
        <v>98.0</v>
      </c>
      <c r="G16" s="28">
        <v>2.0</v>
      </c>
      <c r="I16" s="12">
        <v>15.0</v>
      </c>
    </row>
    <row r="17">
      <c r="A17" s="8">
        <v>15.0</v>
      </c>
      <c r="B17" s="12">
        <v>74.0</v>
      </c>
      <c r="C17" s="12">
        <v>341.0</v>
      </c>
      <c r="D17" s="12">
        <v>540.0</v>
      </c>
      <c r="E17" s="12">
        <v>804.0</v>
      </c>
      <c r="F17" s="12">
        <v>105.0</v>
      </c>
      <c r="G17" s="28">
        <v>3.0</v>
      </c>
      <c r="I17" s="12">
        <v>12.0</v>
      </c>
    </row>
    <row r="18">
      <c r="A18" s="8">
        <v>16.0</v>
      </c>
      <c r="B18" s="12">
        <v>51.0</v>
      </c>
      <c r="C18" s="12">
        <v>241.0</v>
      </c>
      <c r="D18" s="12">
        <v>580.0</v>
      </c>
      <c r="E18" s="12">
        <v>680.0</v>
      </c>
      <c r="F18" s="12">
        <v>264.0</v>
      </c>
      <c r="G18" s="28">
        <v>18.0</v>
      </c>
      <c r="I18" s="12">
        <v>38.0</v>
      </c>
    </row>
    <row r="19">
      <c r="A19" s="8">
        <v>17.0</v>
      </c>
      <c r="B19" s="12">
        <v>30.0</v>
      </c>
      <c r="C19" s="12">
        <v>218.0</v>
      </c>
      <c r="D19" s="12">
        <v>406.0</v>
      </c>
      <c r="E19" s="12">
        <v>928.0</v>
      </c>
      <c r="F19" s="12">
        <v>242.0</v>
      </c>
      <c r="G19" s="28">
        <v>11.0</v>
      </c>
      <c r="I19" s="12">
        <v>28.0</v>
      </c>
    </row>
    <row r="20">
      <c r="A20" s="8">
        <v>18.0</v>
      </c>
      <c r="B20" s="12">
        <v>51.0</v>
      </c>
      <c r="C20" s="12">
        <v>177.0</v>
      </c>
      <c r="D20" s="12">
        <v>202.0</v>
      </c>
      <c r="E20" s="12">
        <v>1040.0</v>
      </c>
      <c r="F20" s="12">
        <v>350.0</v>
      </c>
      <c r="G20" s="28">
        <v>13.0</v>
      </c>
      <c r="I20" s="12">
        <v>22.0</v>
      </c>
    </row>
    <row r="21">
      <c r="A21" s="8">
        <v>19.0</v>
      </c>
      <c r="B21" s="12">
        <v>55.0</v>
      </c>
      <c r="C21" s="12">
        <v>196.0</v>
      </c>
      <c r="D21" s="12">
        <v>454.0</v>
      </c>
      <c r="E21" s="12">
        <v>858.0</v>
      </c>
      <c r="F21" s="12">
        <v>253.0</v>
      </c>
      <c r="G21" s="28">
        <v>11.0</v>
      </c>
      <c r="I21" s="12">
        <v>25.0</v>
      </c>
    </row>
    <row r="22">
      <c r="A22" s="8">
        <v>20.0</v>
      </c>
      <c r="B22" s="12">
        <v>53.0</v>
      </c>
      <c r="C22" s="12">
        <v>227.0</v>
      </c>
      <c r="D22" s="12">
        <v>544.0</v>
      </c>
      <c r="E22" s="12">
        <v>720.0</v>
      </c>
      <c r="F22" s="12">
        <v>268.0</v>
      </c>
      <c r="G22" s="28">
        <v>11.0</v>
      </c>
      <c r="I22" s="12">
        <v>31.0</v>
      </c>
    </row>
    <row r="23">
      <c r="A23" s="8">
        <v>21.0</v>
      </c>
      <c r="B23" s="12">
        <v>48.0</v>
      </c>
      <c r="C23" s="12">
        <v>185.0</v>
      </c>
      <c r="D23" s="12">
        <v>521.0</v>
      </c>
      <c r="E23" s="12">
        <v>759.0</v>
      </c>
      <c r="F23" s="12">
        <v>305.0</v>
      </c>
      <c r="G23" s="28">
        <v>5.0</v>
      </c>
      <c r="I23" s="12">
        <v>27.0</v>
      </c>
    </row>
    <row r="24">
      <c r="A24" s="8">
        <v>22.0</v>
      </c>
      <c r="B24" s="12">
        <v>42.0</v>
      </c>
      <c r="C24" s="12">
        <v>223.0</v>
      </c>
      <c r="D24" s="12">
        <v>528.0</v>
      </c>
      <c r="E24" s="12">
        <v>786.0</v>
      </c>
      <c r="F24" s="12">
        <v>220.0</v>
      </c>
      <c r="G24" s="12">
        <v>11.0</v>
      </c>
      <c r="I24" s="12">
        <v>20.0</v>
      </c>
    </row>
    <row r="25">
      <c r="A25" s="8">
        <v>23.0</v>
      </c>
      <c r="B25" s="12">
        <v>55.0</v>
      </c>
      <c r="C25" s="12">
        <v>253.0</v>
      </c>
      <c r="D25" s="12">
        <v>525.0</v>
      </c>
      <c r="E25" s="12">
        <v>791.0</v>
      </c>
      <c r="F25" s="12">
        <v>220.0</v>
      </c>
      <c r="G25" s="12">
        <v>18.0</v>
      </c>
      <c r="H25" s="12">
        <v>2.0</v>
      </c>
      <c r="I25" s="12">
        <v>33.0</v>
      </c>
    </row>
    <row r="26">
      <c r="A26" s="8">
        <v>24.0</v>
      </c>
      <c r="B26" s="12">
        <v>32.0</v>
      </c>
      <c r="C26" s="12">
        <v>314.0</v>
      </c>
      <c r="D26" s="12">
        <v>545.0</v>
      </c>
      <c r="E26" s="12">
        <v>733.0</v>
      </c>
      <c r="F26" s="12">
        <v>188.0</v>
      </c>
      <c r="G26" s="12">
        <v>2.0</v>
      </c>
      <c r="I26" s="12">
        <v>28.0</v>
      </c>
    </row>
    <row r="27">
      <c r="A27" s="8">
        <v>25.0</v>
      </c>
      <c r="B27" s="12">
        <v>24.0</v>
      </c>
      <c r="C27" s="12">
        <v>252.0</v>
      </c>
      <c r="D27" s="12">
        <v>495.0</v>
      </c>
      <c r="E27" s="12">
        <v>821.0</v>
      </c>
      <c r="F27" s="12">
        <v>229.0</v>
      </c>
      <c r="G27" s="12">
        <v>13.0</v>
      </c>
      <c r="I27" s="12">
        <v>23.0</v>
      </c>
    </row>
    <row r="28">
      <c r="A28" s="8">
        <v>26.0</v>
      </c>
      <c r="B28" s="12">
        <v>48.0</v>
      </c>
      <c r="C28" s="12">
        <v>232.0</v>
      </c>
      <c r="D28" s="12">
        <v>524.0</v>
      </c>
      <c r="E28" s="12">
        <v>727.0</v>
      </c>
      <c r="F28" s="12">
        <v>291.0</v>
      </c>
      <c r="G28" s="12">
        <v>12.0</v>
      </c>
      <c r="I28" s="12">
        <v>27.0</v>
      </c>
    </row>
    <row r="29">
      <c r="A29" s="8">
        <v>27.0</v>
      </c>
      <c r="B29" s="12">
        <v>46.0</v>
      </c>
      <c r="C29" s="12">
        <v>225.0</v>
      </c>
      <c r="D29" s="12">
        <v>512.0</v>
      </c>
      <c r="E29" s="12">
        <v>810.0</v>
      </c>
      <c r="F29" s="12">
        <v>216.0</v>
      </c>
      <c r="G29" s="12">
        <v>2.0</v>
      </c>
      <c r="I29" s="12">
        <v>24.0</v>
      </c>
    </row>
    <row r="30">
      <c r="A30" s="8">
        <v>28.0</v>
      </c>
      <c r="B30" s="12">
        <v>66.0</v>
      </c>
      <c r="C30" s="12">
        <v>288.0</v>
      </c>
      <c r="D30" s="12">
        <v>588.0</v>
      </c>
      <c r="E30" s="12">
        <v>793.0</v>
      </c>
      <c r="F30" s="12">
        <v>97.0</v>
      </c>
      <c r="I30" s="12">
        <v>37.0</v>
      </c>
    </row>
    <row r="31">
      <c r="A31" s="8">
        <v>29.0</v>
      </c>
      <c r="B31" s="12">
        <v>55.0</v>
      </c>
      <c r="C31" s="12">
        <v>291.0</v>
      </c>
      <c r="D31" s="12">
        <v>398.0</v>
      </c>
      <c r="E31" s="12">
        <v>957.0</v>
      </c>
      <c r="F31" s="12">
        <v>118.0</v>
      </c>
      <c r="I31" s="12">
        <v>17.0</v>
      </c>
    </row>
    <row r="32">
      <c r="A32" s="8">
        <v>30.0</v>
      </c>
      <c r="B32" s="12">
        <v>45.0</v>
      </c>
      <c r="C32" s="12">
        <v>282.0</v>
      </c>
      <c r="D32" s="12">
        <v>510.0</v>
      </c>
      <c r="E32" s="12">
        <v>870.0</v>
      </c>
      <c r="F32" s="12">
        <v>125.0</v>
      </c>
      <c r="I32" s="12">
        <v>33.0</v>
      </c>
    </row>
    <row r="33">
      <c r="A33" s="8">
        <v>31.0</v>
      </c>
      <c r="B33" s="12">
        <v>72.0</v>
      </c>
      <c r="C33" s="12">
        <v>254.0</v>
      </c>
      <c r="D33" s="12">
        <v>589.0</v>
      </c>
      <c r="E33" s="12">
        <v>798.0</v>
      </c>
      <c r="F33" s="12">
        <v>109.0</v>
      </c>
      <c r="I33" s="12">
        <v>23.0</v>
      </c>
    </row>
    <row r="34">
      <c r="A34" s="8"/>
    </row>
    <row r="35">
      <c r="A35" s="8"/>
    </row>
    <row r="37">
      <c r="A37" s="24" t="s">
        <v>15</v>
      </c>
      <c r="B37" s="27" t="s">
        <v>25</v>
      </c>
    </row>
    <row r="38"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</row>
    <row r="39">
      <c r="A39" s="8">
        <v>1.0</v>
      </c>
      <c r="B39" s="12">
        <v>120.0</v>
      </c>
      <c r="C39" s="12">
        <v>195.0</v>
      </c>
      <c r="D39" s="12">
        <v>179.0</v>
      </c>
      <c r="E39" s="12">
        <v>114.0</v>
      </c>
      <c r="F39" s="12">
        <v>14.0</v>
      </c>
      <c r="I39" s="12">
        <v>11.0</v>
      </c>
    </row>
    <row r="40">
      <c r="A40" s="8">
        <v>2.0</v>
      </c>
      <c r="B40" s="12">
        <v>125.0</v>
      </c>
      <c r="C40" s="12">
        <v>193.0</v>
      </c>
      <c r="D40" s="12">
        <v>164.0</v>
      </c>
      <c r="E40" s="12">
        <v>109.0</v>
      </c>
      <c r="F40" s="12">
        <v>30.0</v>
      </c>
      <c r="I40" s="12">
        <v>20.0</v>
      </c>
    </row>
    <row r="41">
      <c r="A41" s="8">
        <v>3.0</v>
      </c>
      <c r="B41" s="12">
        <v>123.0</v>
      </c>
      <c r="C41" s="12">
        <v>194.0</v>
      </c>
      <c r="D41" s="12">
        <v>151.0</v>
      </c>
      <c r="E41" s="12">
        <v>95.0</v>
      </c>
      <c r="F41" s="12">
        <v>16.0</v>
      </c>
      <c r="I41" s="12">
        <v>23.0</v>
      </c>
    </row>
    <row r="42">
      <c r="A42" s="8">
        <v>4.0</v>
      </c>
      <c r="B42" s="12">
        <v>115.0</v>
      </c>
      <c r="C42" s="12">
        <v>178.0</v>
      </c>
      <c r="D42" s="12">
        <v>159.0</v>
      </c>
      <c r="E42" s="12">
        <v>120.0</v>
      </c>
      <c r="F42" s="12">
        <v>23.0</v>
      </c>
      <c r="G42" s="12">
        <v>4.0</v>
      </c>
      <c r="I42" s="12">
        <v>16.0</v>
      </c>
    </row>
    <row r="43">
      <c r="A43" s="8">
        <v>5.0</v>
      </c>
      <c r="B43" s="12">
        <v>148.0</v>
      </c>
      <c r="C43" s="12">
        <v>228.0</v>
      </c>
      <c r="D43" s="12">
        <v>108.0</v>
      </c>
      <c r="E43" s="12">
        <v>104.0</v>
      </c>
      <c r="F43" s="12">
        <v>19.0</v>
      </c>
      <c r="I43" s="12">
        <v>8.0</v>
      </c>
    </row>
    <row r="44">
      <c r="A44" s="8">
        <v>6.0</v>
      </c>
      <c r="B44" s="12">
        <v>127.0</v>
      </c>
      <c r="C44" s="12">
        <v>186.0</v>
      </c>
      <c r="D44" s="12">
        <v>151.0</v>
      </c>
      <c r="E44" s="12">
        <v>108.0</v>
      </c>
      <c r="F44" s="12">
        <v>15.0</v>
      </c>
      <c r="I44" s="12">
        <v>12.0</v>
      </c>
    </row>
    <row r="45">
      <c r="A45" s="8">
        <v>7.0</v>
      </c>
      <c r="B45" s="12">
        <v>129.0</v>
      </c>
      <c r="C45" s="12">
        <v>195.0</v>
      </c>
      <c r="D45" s="12">
        <v>141.0</v>
      </c>
      <c r="E45" s="12">
        <v>96.0</v>
      </c>
      <c r="F45" s="12">
        <v>21.0</v>
      </c>
      <c r="H45" s="12">
        <v>1.0</v>
      </c>
      <c r="I45" s="12">
        <v>24.0</v>
      </c>
    </row>
    <row r="46">
      <c r="A46" s="8">
        <v>8.0</v>
      </c>
      <c r="B46" s="12">
        <v>131.0</v>
      </c>
      <c r="C46" s="12">
        <v>191.0</v>
      </c>
      <c r="D46" s="12">
        <v>147.0</v>
      </c>
      <c r="E46" s="12">
        <v>104.0</v>
      </c>
      <c r="F46" s="12">
        <v>17.0</v>
      </c>
      <c r="I46" s="12">
        <v>9.0</v>
      </c>
    </row>
    <row r="47">
      <c r="A47" s="8">
        <v>9.0</v>
      </c>
      <c r="B47" s="12">
        <v>114.0</v>
      </c>
      <c r="C47" s="12">
        <v>174.0</v>
      </c>
      <c r="D47" s="12">
        <v>147.0</v>
      </c>
      <c r="E47" s="12">
        <v>94.0</v>
      </c>
      <c r="F47" s="12">
        <v>17.0</v>
      </c>
      <c r="I47" s="12">
        <v>9.0</v>
      </c>
    </row>
    <row r="48">
      <c r="A48" s="8">
        <v>10.0</v>
      </c>
      <c r="B48" s="12">
        <v>135.0</v>
      </c>
      <c r="C48" s="12">
        <v>191.0</v>
      </c>
      <c r="D48" s="12">
        <v>150.0</v>
      </c>
      <c r="E48" s="12">
        <v>101.0</v>
      </c>
      <c r="F48" s="12">
        <v>13.0</v>
      </c>
      <c r="I48" s="12">
        <v>21.0</v>
      </c>
    </row>
    <row r="49">
      <c r="A49" s="8">
        <v>11.0</v>
      </c>
      <c r="B49" s="12">
        <v>110.0</v>
      </c>
      <c r="C49" s="12">
        <v>178.0</v>
      </c>
      <c r="D49" s="12">
        <v>176.0</v>
      </c>
      <c r="E49" s="12">
        <v>97.0</v>
      </c>
      <c r="F49" s="28">
        <v>22.0</v>
      </c>
      <c r="I49" s="12">
        <v>15.0</v>
      </c>
    </row>
    <row r="50">
      <c r="A50" s="8">
        <v>12.0</v>
      </c>
      <c r="B50" s="12">
        <v>117.0</v>
      </c>
      <c r="C50" s="12">
        <v>185.0</v>
      </c>
      <c r="D50" s="12">
        <v>185.0</v>
      </c>
      <c r="E50" s="12">
        <v>108.0</v>
      </c>
      <c r="F50" s="28">
        <v>16.0</v>
      </c>
      <c r="G50" s="12">
        <v>1.0</v>
      </c>
      <c r="I50" s="12">
        <v>15.0</v>
      </c>
    </row>
    <row r="51">
      <c r="A51" s="8">
        <v>13.0</v>
      </c>
      <c r="B51" s="12">
        <v>86.0</v>
      </c>
      <c r="C51" s="12">
        <v>194.0</v>
      </c>
      <c r="D51" s="12">
        <v>186.0</v>
      </c>
      <c r="E51" s="12">
        <v>106.0</v>
      </c>
      <c r="F51" s="28">
        <v>21.0</v>
      </c>
      <c r="I51" s="12">
        <v>26.0</v>
      </c>
    </row>
    <row r="52">
      <c r="A52" s="8">
        <v>14.0</v>
      </c>
      <c r="B52" s="12">
        <v>95.0</v>
      </c>
      <c r="C52" s="12">
        <v>177.0</v>
      </c>
      <c r="D52" s="12">
        <v>166.0</v>
      </c>
      <c r="E52" s="12">
        <v>99.0</v>
      </c>
      <c r="F52" s="28">
        <v>15.0</v>
      </c>
      <c r="G52" s="12">
        <v>2.0</v>
      </c>
      <c r="I52" s="12">
        <v>24.0</v>
      </c>
    </row>
    <row r="53">
      <c r="A53" s="8">
        <v>15.0</v>
      </c>
      <c r="B53" s="12">
        <v>150.0</v>
      </c>
      <c r="C53" s="12">
        <v>159.0</v>
      </c>
      <c r="D53" s="12">
        <v>140.0</v>
      </c>
      <c r="E53" s="12">
        <v>99.0</v>
      </c>
      <c r="F53" s="28">
        <v>16.0</v>
      </c>
      <c r="I53" s="12">
        <v>20.0</v>
      </c>
    </row>
    <row r="54">
      <c r="A54" s="8">
        <v>16.0</v>
      </c>
      <c r="B54" s="12">
        <v>127.0</v>
      </c>
      <c r="C54" s="12">
        <v>187.0</v>
      </c>
      <c r="D54" s="12">
        <v>144.0</v>
      </c>
      <c r="E54" s="12">
        <v>100.0</v>
      </c>
      <c r="F54" s="28">
        <v>17.0</v>
      </c>
      <c r="G54" s="12">
        <v>1.0</v>
      </c>
      <c r="I54" s="12">
        <v>30.0</v>
      </c>
    </row>
    <row r="55">
      <c r="A55" s="8">
        <v>17.0</v>
      </c>
      <c r="B55" s="12">
        <v>51.0</v>
      </c>
      <c r="C55" s="12">
        <v>128.0</v>
      </c>
      <c r="D55" s="12">
        <v>148.0</v>
      </c>
      <c r="E55" s="12">
        <v>120.0</v>
      </c>
      <c r="F55" s="28">
        <v>95.0</v>
      </c>
      <c r="I55" s="12">
        <v>27.0</v>
      </c>
    </row>
    <row r="56">
      <c r="A56" s="8">
        <v>18.0</v>
      </c>
      <c r="B56" s="12">
        <v>76.0</v>
      </c>
      <c r="C56" s="12">
        <v>154.0</v>
      </c>
      <c r="D56" s="12">
        <v>100.0</v>
      </c>
      <c r="E56" s="12">
        <v>125.0</v>
      </c>
      <c r="F56" s="28">
        <v>115.0</v>
      </c>
      <c r="I56" s="12">
        <v>15.0</v>
      </c>
    </row>
    <row r="57">
      <c r="A57" s="8">
        <v>19.0</v>
      </c>
      <c r="B57" s="12">
        <v>86.0</v>
      </c>
      <c r="C57" s="12">
        <v>145.0</v>
      </c>
      <c r="D57" s="12">
        <v>113.0</v>
      </c>
      <c r="E57" s="12">
        <v>108.0</v>
      </c>
      <c r="F57" s="28">
        <v>105.0</v>
      </c>
      <c r="I57" s="12">
        <v>15.0</v>
      </c>
    </row>
    <row r="58">
      <c r="A58" s="8">
        <v>20.0</v>
      </c>
      <c r="B58" s="12">
        <v>83.0</v>
      </c>
      <c r="C58" s="12">
        <v>163.0</v>
      </c>
      <c r="D58" s="12">
        <v>134.0</v>
      </c>
      <c r="E58" s="12">
        <v>109.0</v>
      </c>
      <c r="F58" s="28">
        <v>69.0</v>
      </c>
      <c r="I58" s="12">
        <v>18.0</v>
      </c>
    </row>
    <row r="59">
      <c r="A59" s="8">
        <v>21.0</v>
      </c>
      <c r="B59" s="12">
        <v>81.0</v>
      </c>
      <c r="C59" s="12">
        <v>133.0</v>
      </c>
      <c r="D59" s="12">
        <v>135.0</v>
      </c>
      <c r="E59" s="12">
        <v>100.0</v>
      </c>
      <c r="F59" s="28">
        <v>88.0</v>
      </c>
      <c r="I59" s="12">
        <v>14.0</v>
      </c>
    </row>
    <row r="60">
      <c r="A60" s="8">
        <v>22.0</v>
      </c>
      <c r="B60" s="12">
        <v>89.0</v>
      </c>
      <c r="C60" s="12">
        <v>171.0</v>
      </c>
      <c r="D60" s="12">
        <v>98.0</v>
      </c>
      <c r="E60" s="12">
        <v>103.0</v>
      </c>
      <c r="F60" s="28">
        <v>74.0</v>
      </c>
      <c r="I60" s="12">
        <v>19.0</v>
      </c>
    </row>
    <row r="61">
      <c r="A61" s="8">
        <v>23.0</v>
      </c>
      <c r="B61" s="12">
        <v>75.0</v>
      </c>
      <c r="C61" s="12">
        <v>140.0</v>
      </c>
      <c r="D61" s="12">
        <v>131.0</v>
      </c>
      <c r="E61" s="12">
        <v>92.0</v>
      </c>
      <c r="F61" s="28">
        <v>67.0</v>
      </c>
      <c r="G61" s="12">
        <v>2.0</v>
      </c>
      <c r="I61" s="12">
        <v>18.0</v>
      </c>
    </row>
    <row r="62">
      <c r="A62" s="8">
        <v>24.0</v>
      </c>
      <c r="B62" s="12">
        <v>41.0</v>
      </c>
      <c r="C62" s="12">
        <v>119.0</v>
      </c>
      <c r="D62" s="12">
        <v>115.0</v>
      </c>
      <c r="E62" s="12">
        <v>147.0</v>
      </c>
      <c r="F62" s="28">
        <v>27.0</v>
      </c>
      <c r="G62" s="12">
        <v>3.0</v>
      </c>
      <c r="I62" s="12">
        <v>15.0</v>
      </c>
    </row>
    <row r="63">
      <c r="A63" s="8">
        <v>25.0</v>
      </c>
      <c r="B63" s="12">
        <v>56.0</v>
      </c>
      <c r="C63" s="12">
        <v>124.0</v>
      </c>
      <c r="D63" s="12">
        <v>120.0</v>
      </c>
      <c r="E63" s="12">
        <v>173.0</v>
      </c>
      <c r="F63" s="28">
        <v>46.0</v>
      </c>
      <c r="G63" s="12">
        <v>1.0</v>
      </c>
      <c r="I63" s="12">
        <v>17.0</v>
      </c>
    </row>
    <row r="64">
      <c r="A64" s="8">
        <v>26.0</v>
      </c>
      <c r="B64" s="12">
        <v>107.0</v>
      </c>
      <c r="C64" s="12">
        <v>120.0</v>
      </c>
      <c r="D64" s="12">
        <v>99.0</v>
      </c>
      <c r="E64" s="12">
        <v>116.0</v>
      </c>
      <c r="F64" s="28">
        <v>98.0</v>
      </c>
      <c r="G64" s="12"/>
      <c r="I64" s="12">
        <v>18.0</v>
      </c>
    </row>
    <row r="65">
      <c r="A65" s="8">
        <v>27.0</v>
      </c>
      <c r="B65" s="12">
        <v>51.0</v>
      </c>
      <c r="C65" s="12">
        <v>155.0</v>
      </c>
      <c r="D65" s="12">
        <v>119.0</v>
      </c>
      <c r="E65" s="12">
        <v>117.0</v>
      </c>
      <c r="F65" s="28">
        <v>23.0</v>
      </c>
      <c r="G65" s="12"/>
      <c r="I65" s="12">
        <v>21.0</v>
      </c>
    </row>
    <row r="66">
      <c r="A66" s="8">
        <v>28.0</v>
      </c>
      <c r="B66" s="12">
        <v>96.0</v>
      </c>
      <c r="C66" s="12">
        <v>150.0</v>
      </c>
      <c r="D66" s="12">
        <v>141.0</v>
      </c>
      <c r="E66" s="12">
        <v>99.0</v>
      </c>
      <c r="F66" s="28">
        <v>16.0</v>
      </c>
      <c r="G66" s="12"/>
      <c r="I66" s="12">
        <v>23.0</v>
      </c>
    </row>
    <row r="67">
      <c r="A67" s="8">
        <v>29.0</v>
      </c>
      <c r="B67" s="12">
        <v>92.0</v>
      </c>
      <c r="C67" s="12">
        <v>152.0</v>
      </c>
      <c r="D67" s="12">
        <v>149.0</v>
      </c>
      <c r="E67" s="12">
        <v>93.0</v>
      </c>
      <c r="F67" s="28">
        <v>26.0</v>
      </c>
      <c r="G67" s="12"/>
      <c r="I67" s="12">
        <v>20.0</v>
      </c>
    </row>
    <row r="68">
      <c r="A68" s="8">
        <v>30.0</v>
      </c>
      <c r="B68" s="12">
        <v>89.0</v>
      </c>
      <c r="C68" s="12">
        <v>145.0</v>
      </c>
      <c r="D68" s="12">
        <v>142.0</v>
      </c>
      <c r="E68" s="12">
        <v>100.0</v>
      </c>
      <c r="F68" s="28">
        <v>15.0</v>
      </c>
      <c r="G68" s="12"/>
      <c r="I68" s="12">
        <v>6.0</v>
      </c>
    </row>
    <row r="69">
      <c r="A69" s="8">
        <v>31.0</v>
      </c>
      <c r="B69" s="12">
        <v>88.0</v>
      </c>
      <c r="C69" s="12">
        <v>133.0</v>
      </c>
      <c r="D69" s="12">
        <v>136.0</v>
      </c>
      <c r="E69" s="12">
        <v>93.0</v>
      </c>
      <c r="F69" s="28">
        <v>5.0</v>
      </c>
      <c r="G69" s="12">
        <v>1.0</v>
      </c>
      <c r="I69" s="12">
        <v>32.0</v>
      </c>
    </row>
    <row r="70">
      <c r="A70" s="8"/>
      <c r="B70" s="12"/>
      <c r="C70" s="12"/>
      <c r="D70" s="12"/>
      <c r="E70" s="12"/>
      <c r="F70" s="28"/>
      <c r="G70" s="12"/>
      <c r="I70" s="12"/>
    </row>
    <row r="72">
      <c r="A72" s="24" t="s">
        <v>15</v>
      </c>
      <c r="B72" s="29" t="s">
        <v>26</v>
      </c>
    </row>
    <row r="73"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</row>
    <row r="74">
      <c r="A74" s="8">
        <v>1.0</v>
      </c>
      <c r="B74" s="12">
        <v>47.0</v>
      </c>
      <c r="C74" s="12">
        <v>244.0</v>
      </c>
      <c r="D74" s="12">
        <v>507.0</v>
      </c>
      <c r="E74" s="12">
        <v>681.0</v>
      </c>
      <c r="F74" s="12">
        <v>113.0</v>
      </c>
      <c r="G74" s="12">
        <v>9.0</v>
      </c>
      <c r="I74" s="12">
        <v>35.0</v>
      </c>
    </row>
    <row r="75">
      <c r="A75" s="8">
        <v>2.0</v>
      </c>
      <c r="B75" s="12">
        <v>69.0</v>
      </c>
      <c r="C75" s="12">
        <v>276.0</v>
      </c>
      <c r="D75" s="12">
        <v>489.0</v>
      </c>
      <c r="E75" s="12">
        <v>596.0</v>
      </c>
      <c r="F75" s="12">
        <v>91.0</v>
      </c>
      <c r="G75" s="12">
        <v>2.0</v>
      </c>
      <c r="H75" s="12">
        <v>2.0</v>
      </c>
      <c r="I75" s="12">
        <v>31.0</v>
      </c>
    </row>
    <row r="76">
      <c r="A76" s="8">
        <v>3.0</v>
      </c>
      <c r="B76" s="12">
        <v>59.0</v>
      </c>
      <c r="C76" s="12">
        <v>262.0</v>
      </c>
      <c r="D76" s="12">
        <v>499.0</v>
      </c>
      <c r="E76" s="12">
        <v>607.0</v>
      </c>
      <c r="F76" s="12">
        <v>93.0</v>
      </c>
      <c r="G76" s="12">
        <v>3.0</v>
      </c>
      <c r="I76" s="12">
        <v>36.0</v>
      </c>
    </row>
    <row r="77">
      <c r="A77" s="8">
        <v>4.0</v>
      </c>
      <c r="B77" s="12">
        <v>52.0</v>
      </c>
      <c r="C77" s="12">
        <v>281.0</v>
      </c>
      <c r="D77" s="12">
        <v>435.0</v>
      </c>
      <c r="E77" s="12">
        <v>600.0</v>
      </c>
      <c r="F77" s="12">
        <v>158.0</v>
      </c>
      <c r="I77" s="12">
        <v>46.0</v>
      </c>
    </row>
    <row r="78">
      <c r="A78" s="8">
        <v>5.0</v>
      </c>
      <c r="B78" s="12">
        <v>69.0</v>
      </c>
      <c r="C78" s="12">
        <v>336.0</v>
      </c>
      <c r="D78" s="12">
        <v>640.0</v>
      </c>
      <c r="E78" s="12">
        <v>440.0</v>
      </c>
      <c r="F78" s="12">
        <v>78.0</v>
      </c>
      <c r="G78" s="12">
        <v>4.0</v>
      </c>
      <c r="I78" s="12">
        <v>23.0</v>
      </c>
    </row>
    <row r="79">
      <c r="A79" s="8">
        <v>6.0</v>
      </c>
      <c r="B79" s="12">
        <v>47.0</v>
      </c>
      <c r="C79" s="12">
        <v>330.0</v>
      </c>
      <c r="D79" s="12">
        <v>548.0</v>
      </c>
      <c r="E79" s="12">
        <v>550.0</v>
      </c>
      <c r="F79" s="12">
        <v>62.0</v>
      </c>
      <c r="G79" s="12">
        <v>5.0</v>
      </c>
      <c r="I79" s="12">
        <v>28.0</v>
      </c>
    </row>
    <row r="80">
      <c r="A80" s="8">
        <v>7.0</v>
      </c>
      <c r="B80" s="12">
        <v>23.0</v>
      </c>
      <c r="C80" s="12">
        <v>297.0</v>
      </c>
      <c r="D80" s="12">
        <v>538.0</v>
      </c>
      <c r="E80" s="12">
        <v>567.0</v>
      </c>
      <c r="F80" s="12">
        <v>127.0</v>
      </c>
      <c r="I80" s="12">
        <v>14.0</v>
      </c>
    </row>
    <row r="81">
      <c r="A81" s="8">
        <v>8.0</v>
      </c>
      <c r="B81" s="12">
        <v>33.0</v>
      </c>
      <c r="C81" s="12">
        <v>347.0</v>
      </c>
      <c r="D81" s="12">
        <v>468.0</v>
      </c>
      <c r="E81" s="12">
        <v>584.0</v>
      </c>
      <c r="F81" s="12">
        <v>95.0</v>
      </c>
      <c r="G81" s="12">
        <v>1.0</v>
      </c>
      <c r="I81" s="12">
        <v>42.0</v>
      </c>
    </row>
    <row r="82">
      <c r="A82" s="8">
        <v>9.0</v>
      </c>
      <c r="B82" s="12">
        <v>30.0</v>
      </c>
      <c r="C82" s="12">
        <v>353.0</v>
      </c>
      <c r="D82" s="12">
        <v>523.0</v>
      </c>
      <c r="E82" s="12">
        <v>518.0</v>
      </c>
      <c r="F82" s="12">
        <v>95.0</v>
      </c>
      <c r="G82" s="12">
        <v>3.0</v>
      </c>
      <c r="H82" s="12">
        <v>1.0</v>
      </c>
      <c r="I82" s="12">
        <v>40.0</v>
      </c>
    </row>
    <row r="83">
      <c r="A83" s="8">
        <v>10.0</v>
      </c>
      <c r="B83" s="12">
        <v>57.0</v>
      </c>
      <c r="C83" s="12">
        <v>295.0</v>
      </c>
      <c r="D83" s="12">
        <v>538.0</v>
      </c>
      <c r="E83" s="12">
        <v>584.0</v>
      </c>
      <c r="F83" s="12">
        <v>92.0</v>
      </c>
      <c r="G83" s="12">
        <v>4.0</v>
      </c>
      <c r="I83" s="12">
        <v>20.0</v>
      </c>
    </row>
    <row r="84">
      <c r="A84" s="8">
        <v>11.0</v>
      </c>
      <c r="B84" s="12">
        <v>64.0</v>
      </c>
      <c r="C84" s="12">
        <v>249.0</v>
      </c>
      <c r="D84" s="12">
        <v>525.0</v>
      </c>
      <c r="E84" s="12">
        <v>577.0</v>
      </c>
      <c r="F84" s="12">
        <v>105.0</v>
      </c>
      <c r="G84" s="12">
        <v>3.0</v>
      </c>
      <c r="H84" s="12">
        <v>3.0</v>
      </c>
      <c r="I84" s="12">
        <v>40.0</v>
      </c>
    </row>
    <row r="85">
      <c r="A85" s="8">
        <v>12.0</v>
      </c>
      <c r="B85" s="12">
        <v>22.0</v>
      </c>
      <c r="C85" s="12">
        <v>180.0</v>
      </c>
      <c r="D85" s="12">
        <v>750.0</v>
      </c>
      <c r="E85" s="12">
        <v>508.0</v>
      </c>
      <c r="F85" s="12">
        <v>111.0</v>
      </c>
      <c r="G85" s="12">
        <v>1.0</v>
      </c>
      <c r="I85" s="12">
        <v>8.0</v>
      </c>
    </row>
    <row r="86">
      <c r="A86" s="8">
        <v>13.0</v>
      </c>
      <c r="B86" s="12">
        <v>49.0</v>
      </c>
      <c r="C86" s="12">
        <v>303.0</v>
      </c>
      <c r="D86" s="12">
        <v>435.0</v>
      </c>
      <c r="E86" s="12">
        <v>630.0</v>
      </c>
      <c r="F86" s="12">
        <v>112.0</v>
      </c>
      <c r="G86" s="12">
        <v>5.0</v>
      </c>
      <c r="I86" s="12">
        <v>32.0</v>
      </c>
    </row>
    <row r="87">
      <c r="A87" s="8">
        <v>14.0</v>
      </c>
      <c r="B87" s="12">
        <v>80.0</v>
      </c>
      <c r="C87" s="12">
        <v>314.0</v>
      </c>
      <c r="D87" s="12">
        <v>489.0</v>
      </c>
      <c r="E87" s="12">
        <v>584.0</v>
      </c>
      <c r="F87" s="12">
        <v>92.0</v>
      </c>
      <c r="G87" s="12">
        <v>4.0</v>
      </c>
      <c r="I87" s="12">
        <v>27.0</v>
      </c>
    </row>
    <row r="88">
      <c r="A88" s="8">
        <v>15.0</v>
      </c>
      <c r="B88" s="12">
        <v>38.0</v>
      </c>
      <c r="C88" s="12">
        <v>363.0</v>
      </c>
      <c r="D88" s="12">
        <v>535.0</v>
      </c>
      <c r="E88" s="12">
        <v>524.0</v>
      </c>
      <c r="F88" s="12">
        <v>83.0</v>
      </c>
      <c r="G88" s="12">
        <v>2.0</v>
      </c>
      <c r="I88" s="12">
        <v>28.0</v>
      </c>
    </row>
    <row r="89">
      <c r="A89" s="8">
        <v>16.0</v>
      </c>
      <c r="B89" s="12">
        <v>33.0</v>
      </c>
      <c r="C89" s="12">
        <v>279.0</v>
      </c>
      <c r="D89" s="12">
        <v>462.0</v>
      </c>
      <c r="E89" s="12">
        <v>540.0</v>
      </c>
      <c r="F89" s="12">
        <v>230.0</v>
      </c>
      <c r="G89" s="12">
        <v>10.0</v>
      </c>
      <c r="I89" s="12">
        <v>30.0</v>
      </c>
    </row>
    <row r="90">
      <c r="A90" s="8">
        <v>17.0</v>
      </c>
      <c r="B90" s="12">
        <v>49.0</v>
      </c>
      <c r="C90" s="12">
        <v>230.0</v>
      </c>
      <c r="D90" s="12">
        <v>496.0</v>
      </c>
      <c r="E90" s="12">
        <v>556.0</v>
      </c>
      <c r="F90" s="12">
        <v>222.0</v>
      </c>
      <c r="G90" s="12">
        <v>4.0</v>
      </c>
      <c r="I90" s="12">
        <v>32.0</v>
      </c>
    </row>
    <row r="91">
      <c r="A91" s="8">
        <v>18.0</v>
      </c>
      <c r="B91" s="12">
        <v>51.0</v>
      </c>
      <c r="C91" s="12">
        <v>203.0</v>
      </c>
      <c r="D91" s="12">
        <v>197.0</v>
      </c>
      <c r="E91" s="12">
        <v>1009.0</v>
      </c>
      <c r="F91" s="12">
        <v>63.0</v>
      </c>
      <c r="G91" s="12">
        <v>4.0</v>
      </c>
      <c r="I91" s="12">
        <v>22.0</v>
      </c>
    </row>
    <row r="92">
      <c r="A92" s="8">
        <v>19.0</v>
      </c>
      <c r="B92" s="12">
        <v>42.0</v>
      </c>
      <c r="C92" s="12">
        <v>246.0</v>
      </c>
      <c r="D92" s="12">
        <v>455.0</v>
      </c>
      <c r="E92" s="12">
        <v>643.0</v>
      </c>
      <c r="F92" s="12">
        <v>146.0</v>
      </c>
      <c r="G92" s="12">
        <v>6.0</v>
      </c>
      <c r="I92" s="12">
        <v>26.0</v>
      </c>
    </row>
    <row r="93">
      <c r="A93" s="8">
        <v>20.0</v>
      </c>
      <c r="B93" s="12">
        <v>49.0</v>
      </c>
      <c r="C93" s="12">
        <v>236.0</v>
      </c>
      <c r="D93" s="12">
        <v>447.0</v>
      </c>
      <c r="E93" s="12">
        <v>587.0</v>
      </c>
      <c r="F93" s="12">
        <v>181.0</v>
      </c>
      <c r="G93" s="12">
        <v>21.0</v>
      </c>
      <c r="H93" s="12">
        <v>3.0</v>
      </c>
      <c r="I93" s="12">
        <v>29.0</v>
      </c>
    </row>
    <row r="94">
      <c r="A94" s="8">
        <v>21.0</v>
      </c>
      <c r="B94" s="12">
        <v>39.0</v>
      </c>
      <c r="C94" s="12">
        <v>270.0</v>
      </c>
      <c r="D94" s="12">
        <v>462.0</v>
      </c>
      <c r="E94" s="12">
        <v>574.0</v>
      </c>
      <c r="F94" s="12">
        <v>138.0</v>
      </c>
      <c r="G94" s="12">
        <v>11.0</v>
      </c>
      <c r="I94" s="12">
        <v>25.0</v>
      </c>
    </row>
    <row r="95">
      <c r="A95" s="8">
        <v>22.0</v>
      </c>
      <c r="B95" s="12">
        <v>48.0</v>
      </c>
      <c r="C95" s="12">
        <v>264.0</v>
      </c>
      <c r="D95" s="12">
        <v>413.0</v>
      </c>
      <c r="E95" s="12">
        <v>551.0</v>
      </c>
      <c r="F95" s="12">
        <v>210.0</v>
      </c>
      <c r="G95" s="12">
        <v>6.0</v>
      </c>
      <c r="I95" s="12">
        <v>37.0</v>
      </c>
    </row>
    <row r="96">
      <c r="A96" s="8">
        <v>23.0</v>
      </c>
      <c r="B96" s="12">
        <v>72.0</v>
      </c>
      <c r="C96" s="12">
        <v>293.0</v>
      </c>
      <c r="D96" s="12">
        <v>478.0</v>
      </c>
      <c r="E96" s="12">
        <v>576.0</v>
      </c>
      <c r="F96" s="12">
        <v>44.0</v>
      </c>
      <c r="G96" s="12">
        <v>10.0</v>
      </c>
      <c r="I96" s="12">
        <v>25.0</v>
      </c>
    </row>
    <row r="97">
      <c r="A97" s="8">
        <v>24.0</v>
      </c>
      <c r="B97" s="12">
        <v>44.0</v>
      </c>
      <c r="C97" s="12">
        <v>297.0</v>
      </c>
      <c r="D97" s="12">
        <v>444.0</v>
      </c>
      <c r="E97" s="12">
        <v>520.0</v>
      </c>
      <c r="F97" s="12">
        <v>206.0</v>
      </c>
      <c r="G97" s="12">
        <v>9.0</v>
      </c>
      <c r="I97" s="12">
        <v>27.0</v>
      </c>
    </row>
    <row r="98">
      <c r="A98" s="8">
        <v>25.0</v>
      </c>
      <c r="B98" s="12">
        <v>51.0</v>
      </c>
      <c r="C98" s="12">
        <v>286.0</v>
      </c>
      <c r="D98" s="12">
        <v>462.0</v>
      </c>
      <c r="E98" s="12">
        <v>511.0</v>
      </c>
      <c r="F98" s="12">
        <v>206.0</v>
      </c>
      <c r="G98" s="12">
        <v>6.0</v>
      </c>
      <c r="I98" s="12">
        <v>19.0</v>
      </c>
    </row>
    <row r="99">
      <c r="A99" s="8">
        <v>26.0</v>
      </c>
      <c r="B99" s="12">
        <v>60.0</v>
      </c>
      <c r="C99" s="12">
        <v>300.0</v>
      </c>
      <c r="D99" s="12">
        <v>450.0</v>
      </c>
      <c r="E99" s="12">
        <v>496.0</v>
      </c>
      <c r="F99" s="12">
        <v>217.0</v>
      </c>
      <c r="G99" s="12">
        <v>5.0</v>
      </c>
      <c r="H99" s="12">
        <v>1.0</v>
      </c>
      <c r="I99" s="12">
        <v>40.0</v>
      </c>
    </row>
    <row r="100">
      <c r="A100" s="8">
        <v>27.0</v>
      </c>
      <c r="B100" s="12">
        <v>47.0</v>
      </c>
      <c r="C100" s="12">
        <v>268.0</v>
      </c>
      <c r="D100" s="12">
        <v>424.0</v>
      </c>
      <c r="E100" s="12">
        <v>514.0</v>
      </c>
      <c r="F100" s="12">
        <v>267.0</v>
      </c>
      <c r="H100" s="12">
        <v>2.0</v>
      </c>
      <c r="I100" s="12">
        <v>39.0</v>
      </c>
    </row>
    <row r="101">
      <c r="A101" s="8">
        <v>28.0</v>
      </c>
      <c r="B101" s="12">
        <v>85.0</v>
      </c>
      <c r="C101" s="12">
        <v>310.0</v>
      </c>
      <c r="D101" s="12">
        <v>504.0</v>
      </c>
      <c r="E101" s="12">
        <v>503.0</v>
      </c>
      <c r="F101" s="12">
        <v>101.0</v>
      </c>
      <c r="H101" s="12">
        <v>1.0</v>
      </c>
      <c r="I101" s="12">
        <v>52.0</v>
      </c>
    </row>
    <row r="102">
      <c r="A102" s="8">
        <v>29.0</v>
      </c>
      <c r="B102" s="12">
        <v>87.0</v>
      </c>
      <c r="C102" s="12">
        <v>316.0</v>
      </c>
      <c r="D102" s="12">
        <v>500.0</v>
      </c>
      <c r="E102" s="12">
        <v>503.0</v>
      </c>
      <c r="F102" s="12">
        <v>90.0</v>
      </c>
      <c r="G102" s="12">
        <v>1.0</v>
      </c>
      <c r="I102" s="12">
        <v>33.0</v>
      </c>
    </row>
    <row r="103">
      <c r="A103" s="8">
        <v>30.0</v>
      </c>
      <c r="B103" s="12">
        <v>47.0</v>
      </c>
      <c r="C103" s="12">
        <v>381.0</v>
      </c>
      <c r="D103" s="12">
        <v>657.0</v>
      </c>
      <c r="E103" s="12">
        <v>377.0</v>
      </c>
      <c r="F103" s="12">
        <v>90.0</v>
      </c>
      <c r="G103" s="12">
        <v>4.0</v>
      </c>
      <c r="I103" s="12">
        <v>53.0</v>
      </c>
    </row>
    <row r="104">
      <c r="A104" s="8">
        <v>31.0</v>
      </c>
      <c r="B104" s="12">
        <v>82.0</v>
      </c>
      <c r="C104" s="12">
        <v>273.0</v>
      </c>
      <c r="D104" s="12">
        <v>512.0</v>
      </c>
      <c r="E104" s="12">
        <v>514.0</v>
      </c>
      <c r="F104" s="12">
        <v>81.0</v>
      </c>
      <c r="G104" s="12">
        <v>1.0</v>
      </c>
      <c r="I104" s="12">
        <v>47.0</v>
      </c>
    </row>
    <row r="105">
      <c r="A105" s="8"/>
      <c r="I105" s="12" t="s">
        <v>27</v>
      </c>
    </row>
  </sheetData>
  <mergeCells count="6">
    <mergeCell ref="A1:A2"/>
    <mergeCell ref="B1:I1"/>
    <mergeCell ref="A37:A38"/>
    <mergeCell ref="B37:I37"/>
    <mergeCell ref="A72:A73"/>
    <mergeCell ref="B72:I72"/>
  </mergeCells>
  <drawing r:id="rId1"/>
</worksheet>
</file>